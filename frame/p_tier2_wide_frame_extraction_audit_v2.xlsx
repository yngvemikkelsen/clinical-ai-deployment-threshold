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Analysis_Set" sheetId="2" state="visible" r:id="rId2"/>
    <sheet xmlns:r="http://schemas.openxmlformats.org/officeDocument/2006/relationships" name="Amugongo70" sheetId="3" state="visible" r:id="rId3"/>
    <sheet xmlns:r="http://schemas.openxmlformats.org/officeDocument/2006/relationships" name="He33" sheetId="4" state="visible" r:id="rId4"/>
    <sheet xmlns:r="http://schemas.openxmlformats.org/officeDocument/2006/relationships" name="Rules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1F1F1F"/>
      <sz val="11"/>
    </font>
    <font>
      <name val="Carlito"/>
      <b val="1"/>
      <color rgb="FF1F1F1F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5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  <fill>
      <patternFill patternType="solid">
        <fgColor rgb="FFD9E1F2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7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164" fontId="0" fillId="0" borderId="0" pivotButton="0" quotePrefix="0" xfId="0"/>
    <xf numFmtId="164" fontId="0" fillId="0" borderId="1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0" fontId="3" fillId="4" borderId="1" pivotButton="0" quotePrefix="0" xfId="0"/>
    <xf numFmtId="164" fontId="3" fillId="4" borderId="1" pivotButton="0" quotePrefix="0" xfId="0"/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top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6" fillId="2" borderId="1" pivotButton="0" quotePrefix="0" xfId="0"/>
    <xf numFmtId="0" fontId="6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5" fillId="5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3" fillId="4" borderId="0" applyAlignment="1" pivotButton="0" quotePrefix="0" xfId="0">
      <alignment vertical="center"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</cellXfs>
  <cellStyles count="1">
    <cellStyle name="Normal" xfId="0"/>
  </cellStyles>
  <dxfs count="12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color rgb="FF666666"/>
      </font>
      <fill>
        <patternFill patternType="solid">
          <bgColor rgb="FFF3F6F9"/>
        </patternFill>
      </fill>
    </dxf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Observed p_tier2 versus 0.175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Observed prevalence</v>
          </tx>
          <spPr>
            <a:ln xmlns:a="http://schemas.openxmlformats.org/drawingml/2006/main">
              <a:prstDash val="solid"/>
            </a:ln>
          </spPr>
          <cat>
            <strRef>
              <f>'Summary'!$M$6:$M$8</f>
              <strCache>
                <ptCount val="0"/>
              </strCache>
            </strRef>
          </cat>
          <val>
            <numRef>
              <f>'Summary'!$N$6:$N$8</f>
              <numCache>
                <formatCode>0.0%</formatCode>
                <ptCount val="0"/>
              </numCache>
            </numRef>
          </val>
        </ser>
        <ser>
          <idx val="1"/>
          <order val="1"/>
          <tx>
            <v>Comparator 0.175</v>
          </tx>
          <spPr>
            <a:ln xmlns:a="http://schemas.openxmlformats.org/drawingml/2006/main">
              <a:prstDash val="solid"/>
            </a:ln>
          </spPr>
          <cat>
            <strRef>
              <f>'Summary'!$M$6:$M$8</f>
              <strCache>
                <ptCount val="0"/>
              </strCache>
            </strRef>
          </cat>
          <val>
            <numRef>
              <f>'Summary'!$O$6:$O$8</f>
              <numCache>
                <formatCode>0.0%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18</row>
      <rowOff>0</rowOff>
    </from>
    <to>
      <col>11</col>
      <colOff>0</colOff>
      <row>35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nalysisSetTable" displayName="AnalysisSetTable" ref="A1:O61" headerRowCount="1">
  <tableColumns count="15">
    <tableColumn id="1" name="Canonical ID"/>
    <tableColumn id="2" name="System"/>
    <tableColumn id="3" name="Source frame"/>
    <tableColumn id="4" name="Source row"/>
    <tableColumn id="5" name="Reported operational encoder/retriever"/>
    <tableColumn id="6" name="Core tier"/>
    <tableColumn id="7" name="Expanded tier"/>
    <tableColumn id="8" name="Adversarial tier"/>
    <tableColumn id="9" name="Confidence"/>
    <tableColumn id="10" name="Core include"/>
    <tableColumn id="11" name="Expanded include"/>
    <tableColumn id="12" name="Adversarial include"/>
    <tableColumn id="13" name="Audit note"/>
    <tableColumn id="14" name="Review/source URL"/>
    <tableColumn id="15" name="Primary source URL"/>
  </tableColumns>
  <tableStyleInfo name="TableStyleMedium2" showRowStripes="1"/>
</table>
</file>

<file path=xl/tables/table2.xml><?xml version="1.0" encoding="utf-8"?>
<table xmlns="http://schemas.openxmlformats.org/spreadsheetml/2006/main" id="2" name="AmugongoTable" displayName="AmugongoTable" ref="A1:I71" headerRowCount="1">
  <tableColumns count="9">
    <tableColumn id="1" name="Review row"/>
    <tableColumn id="2" name="System / lead author"/>
    <tableColumn id="3" name="Reported encoder/retriever"/>
    <tableColumn id="4" name="Tier classification"/>
    <tableColumn id="5" name="Primary-analysis status"/>
    <tableColumn id="6" name="Audit rationale"/>
    <tableColumn id="7" name="Primary verification status"/>
    <tableColumn id="8" name="Review URL"/>
    <tableColumn id="9" name="Primary URL"/>
  </tableColumns>
  <tableStyleInfo name="TableStyleMedium2" showRowStripes="1"/>
</table>
</file>

<file path=xl/tables/table3.xml><?xml version="1.0" encoding="utf-8"?>
<table xmlns="http://schemas.openxmlformats.org/spreadsheetml/2006/main" id="3" name="HeSurveyTable" displayName="HeSurveyTable" ref="A1:I34" headerRowCount="1">
  <tableColumns count="9">
    <tableColumn id="1" name="Survey row"/>
    <tableColumn id="2" name="System"/>
    <tableColumn id="3" name="Reported encoder/retriever"/>
    <tableColumn id="4" name="Tier classification"/>
    <tableColumn id="5" name="Dedup / analysis status"/>
    <tableColumn id="6" name="Audit rationale"/>
    <tableColumn id="7" name="Verification"/>
    <tableColumn id="8" name="Survey URL"/>
    <tableColumn id="9" name="Primary URL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28" customWidth="1" style="46" min="1" max="1"/>
    <col width="15" customWidth="1" style="46" min="2" max="2"/>
    <col width="12" customWidth="1" style="46" min="3" max="3"/>
    <col width="15" customWidth="1" style="46" min="4" max="4"/>
    <col width="14" customWidth="1" style="46" min="5" max="5"/>
    <col width="14" customWidth="1" style="46" min="6" max="6"/>
    <col width="16" customWidth="1" style="46" min="7" max="7"/>
    <col width="15" customWidth="1" style="46" min="8" max="8"/>
    <col width="15" customWidth="1" style="46" min="9" max="9"/>
    <col width="16" customWidth="1" style="46" min="10" max="10"/>
    <col width="18" customWidth="1" style="46" min="11" max="11"/>
    <col width="18" customWidth="1" style="46" min="13" max="13"/>
    <col width="18" customWidth="1" style="46" min="14" max="14"/>
    <col width="18" customWidth="1" style="46" min="15" max="15"/>
  </cols>
  <sheetData>
    <row r="1" ht="28" customHeight="1" s="46">
      <c r="A1" s="68" t="inlineStr">
        <is>
          <t>p_tier2 wide-frame extraction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55" t="n"/>
      <c r="M1" s="55" t="n"/>
      <c r="N1" s="55" t="n"/>
      <c r="O1" s="55" t="n"/>
    </row>
    <row r="2" ht="36" customHeight="1" s="46">
      <c r="A2" s="17" t="inlineStr">
        <is>
          <t>Deduplicated clinical/biomedical RAG systems from Amugongo (70 studies) plus He (33 named systems), with primary-paper corrections and explicit ambiguity scenarios.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55" t="n"/>
      <c r="M2" s="55" t="n"/>
      <c r="N2" s="55" t="n"/>
      <c r="O2" s="55" t="n"/>
    </row>
    <row r="3">
      <c r="A3" s="26" t="inlineStr">
        <is>
          <t>Comparator prevalence</t>
        </is>
      </c>
      <c r="B3" s="69" t="n">
        <v>0.175</v>
      </c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</row>
    <row r="4">
      <c r="A4" s="55" t="n"/>
      <c r="B4" s="55" t="n"/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</row>
    <row r="5">
      <c r="A5" s="39" t="inlineStr">
        <is>
          <t>Scenario</t>
        </is>
      </c>
      <c r="B5" s="39" t="inlineStr">
        <is>
          <t>n</t>
        </is>
      </c>
      <c r="C5" s="39" t="inlineStr">
        <is>
          <t>Tier-2 k</t>
        </is>
      </c>
      <c r="D5" s="39" t="inlineStr">
        <is>
          <t>Raw prevalence</t>
        </is>
      </c>
      <c r="E5" s="39" t="inlineStr">
        <is>
          <t>Jeffreys alpha</t>
        </is>
      </c>
      <c r="F5" s="39" t="inlineStr">
        <is>
          <t>Jeffreys beta</t>
        </is>
      </c>
      <c r="G5" s="39" t="inlineStr">
        <is>
          <t>Posterior mean</t>
        </is>
      </c>
      <c r="H5" s="39" t="inlineStr">
        <is>
          <t>95% CrI lower</t>
        </is>
      </c>
      <c r="I5" s="39" t="inlineStr">
        <is>
          <t>95% CrI upper</t>
        </is>
      </c>
      <c r="J5" s="39" t="inlineStr">
        <is>
          <t>Pr(p &lt; 0.175)</t>
        </is>
      </c>
      <c r="K5" s="39" t="inlineStr">
        <is>
          <t>Exact one-sided P</t>
        </is>
      </c>
      <c r="L5" s="55" t="n"/>
      <c r="M5" s="55" t="inlineStr">
        <is>
          <t>Scenario</t>
        </is>
      </c>
      <c r="N5" s="55" t="inlineStr">
        <is>
          <t>Observed prevalence</t>
        </is>
      </c>
      <c r="O5" s="55" t="inlineStr">
        <is>
          <t>Comparator 0.175</t>
        </is>
      </c>
    </row>
    <row r="6">
      <c r="A6" s="64" t="inlineStr">
        <is>
          <t>Primary deduplicated set</t>
        </is>
      </c>
      <c r="B6" s="55">
        <f>COUNTIF(Analysis_Set!$J$2:$J$61,"Y")</f>
        <v/>
      </c>
      <c r="C6" s="55">
        <f>COUNTIFS(Analysis_Set!$J$2:$J$61,"Y",Analysis_Set!$F$2:$F$61,"Tier 2")</f>
        <v/>
      </c>
      <c r="D6" s="70">
        <f>C6/B6</f>
        <v/>
      </c>
      <c r="E6" s="55">
        <f>C6+0.5</f>
        <v/>
      </c>
      <c r="F6" s="55">
        <f>B6-C6+0.5</f>
        <v/>
      </c>
      <c r="G6" s="70">
        <f>E6/(E6+F6)</f>
        <v/>
      </c>
      <c r="H6" s="70">
        <f>BETA.INV(0.025,E6,F6)</f>
        <v/>
      </c>
      <c r="I6" s="70">
        <f>BETA.INV(0.975,E6,F6)</f>
        <v/>
      </c>
      <c r="J6" s="70">
        <f>BETA.DIST($B$3,E6,F6,TRUE)</f>
        <v/>
      </c>
      <c r="K6" s="71">
        <f>BINOM.DIST(C6,B6,$B$3,TRUE)</f>
        <v/>
      </c>
      <c r="L6" s="55" t="n"/>
      <c r="M6" s="55" t="inlineStr">
        <is>
          <t>Primary</t>
        </is>
      </c>
      <c r="N6" s="70">
        <f>D6</f>
        <v/>
      </c>
      <c r="O6" s="70" t="n">
        <v>0.175</v>
      </c>
    </row>
    <row r="7">
      <c r="A7" s="64" t="inlineStr">
        <is>
          <t>Package-level expanded set</t>
        </is>
      </c>
      <c r="B7" s="55">
        <f>COUNTIF(Analysis_Set!$K$2:$K$61,"Y")</f>
        <v/>
      </c>
      <c r="C7" s="55">
        <f>COUNTIFS(Analysis_Set!$K$2:$K$61,"Y",Analysis_Set!$G$2:$G$61,"Tier 2")</f>
        <v/>
      </c>
      <c r="D7" s="70">
        <f>C7/B7</f>
        <v/>
      </c>
      <c r="E7" s="55">
        <f>C7+0.5</f>
        <v/>
      </c>
      <c r="F7" s="55">
        <f>B7-C7+0.5</f>
        <v/>
      </c>
      <c r="G7" s="70">
        <f>E7/(E7+F7)</f>
        <v/>
      </c>
      <c r="H7" s="70">
        <f>BETA.INV(0.025,E7,F7)</f>
        <v/>
      </c>
      <c r="I7" s="70">
        <f>BETA.INV(0.975,E7,F7)</f>
        <v/>
      </c>
      <c r="J7" s="70">
        <f>BETA.DIST($B$3,E7,F7,TRUE)</f>
        <v/>
      </c>
      <c r="K7" s="71">
        <f>BINOM.DIST(C7,B7,$B$3,TRUE)</f>
        <v/>
      </c>
      <c r="L7" s="55" t="n"/>
      <c r="M7" s="55" t="inlineStr">
        <is>
          <t>Expanded</t>
        </is>
      </c>
      <c r="N7" s="70">
        <f>D7</f>
        <v/>
      </c>
      <c r="O7" s="70" t="n">
        <v>0.175</v>
      </c>
    </row>
    <row r="8">
      <c r="A8" s="64" t="inlineStr">
        <is>
          <t>Adversarial ambiguity set</t>
        </is>
      </c>
      <c r="B8" s="55">
        <f>COUNTIF(Analysis_Set!$L$2:$L$61,"Y")</f>
        <v/>
      </c>
      <c r="C8" s="55">
        <f>COUNTIFS(Analysis_Set!$L$2:$L$61,"Y",Analysis_Set!$H$2:$H$61,"Tier 2")</f>
        <v/>
      </c>
      <c r="D8" s="70">
        <f>C8/B8</f>
        <v/>
      </c>
      <c r="E8" s="55">
        <f>C8+0.5</f>
        <v/>
      </c>
      <c r="F8" s="55">
        <f>B8-C8+0.5</f>
        <v/>
      </c>
      <c r="G8" s="70">
        <f>E8/(E8+F8)</f>
        <v/>
      </c>
      <c r="H8" s="70">
        <f>BETA.INV(0.025,E8,F8)</f>
        <v/>
      </c>
      <c r="I8" s="70">
        <f>BETA.INV(0.975,E8,F8)</f>
        <v/>
      </c>
      <c r="J8" s="70">
        <f>BETA.DIST($B$3,E8,F8,TRUE)</f>
        <v/>
      </c>
      <c r="K8" s="71">
        <f>BINOM.DIST(C8,B8,$B$3,TRUE)</f>
        <v/>
      </c>
      <c r="L8" s="55" t="n"/>
      <c r="M8" s="55" t="inlineStr">
        <is>
          <t>Adversarial</t>
        </is>
      </c>
      <c r="N8" s="70">
        <f>D8</f>
        <v/>
      </c>
      <c r="O8" s="70" t="n">
        <v>0.175</v>
      </c>
    </row>
    <row r="9">
      <c r="A9" s="55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</row>
    <row r="10">
      <c r="A10" s="55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</row>
    <row r="11">
      <c r="A11" s="43" t="inlineStr">
        <is>
          <t>Interpretation and cautions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55" t="n"/>
      <c r="M11" s="55" t="n"/>
      <c r="N11" s="55" t="n"/>
      <c r="O11" s="55" t="n"/>
    </row>
    <row r="12">
      <c r="A12" s="67" t="inlineStr">
        <is>
          <t>Primary set</t>
        </is>
      </c>
      <c r="B12" s="58" t="inlineStr">
        <is>
          <t>55 unique systems with a named encoder family/model/service sufficient for Tier classification after deduplication. It contains 2 Tier-2 cases: KG-RAG (definite PubMedBERT) and Chat-Orthopedist (MPNet; exact checkpoint remains a sensitivity issue).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55" t="n"/>
      <c r="M12" s="55" t="n"/>
      <c r="N12" s="55" t="n"/>
      <c r="O12" s="55" t="n"/>
    </row>
    <row r="13">
      <c r="A13" s="67" t="inlineStr">
        <is>
          <t>Expanded set</t>
        </is>
      </c>
      <c r="B13" s="58" t="inlineStr">
        <is>
          <t>Adds RAG-HPO (FastEmbed package) and SurgeryLLM (GPT4All embedding package) as probable Tier 1. Both papers omit the exact embedding checkpoint.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55" t="n"/>
      <c r="M13" s="55" t="n"/>
      <c r="N13" s="55" t="n"/>
      <c r="O13" s="55" t="n"/>
    </row>
    <row r="14">
      <c r="A14" s="67" t="inlineStr">
        <is>
          <t>Adversarial set</t>
        </is>
      </c>
      <c r="B14" s="58" t="inlineStr">
        <is>
          <t>Adds CLEAR, WeiseEule, and MEDRAG and deliberately assigns every unresolved or mixed encoder case against the hypothesis, producing 5/60. This is not the preferred estimator; it is a robustness bound.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55" t="n"/>
      <c r="M14" s="55" t="n"/>
      <c r="N14" s="55" t="n"/>
      <c r="O14" s="55" t="n"/>
    </row>
    <row r="15">
      <c r="A15" s="67" t="inlineStr">
        <is>
          <t>Statistical reading</t>
        </is>
      </c>
      <c r="B15" s="58" t="inlineStr">
        <is>
          <t>The Jeffreys posterior is Beta(k+0.5, n-k+0.5). The one-sided exact P column tests H0: p=0.175 against p&lt;0.175. A two-sided Wilson interval is slightly more conservative and may still touch 0.175 in the 5/60 stress test.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55" t="n"/>
      <c r="M15" s="55" t="n"/>
      <c r="N15" s="55" t="n"/>
      <c r="O15" s="55" t="n"/>
    </row>
    <row r="16">
      <c r="A16" s="67" t="inlineStr">
        <is>
          <t>Population limitation</t>
        </is>
      </c>
      <c r="B16" s="58" t="inlineStr">
        <is>
          <t>Published systems are not a random sample of production deployments. Commercial systems and undisclosed local implementations may use different encoder choices. The result is an evidence-based literature prior, not a registry prevalence estimate.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55" t="n"/>
      <c r="M16" s="55" t="n"/>
      <c r="N16" s="55" t="n"/>
      <c r="O16" s="55" t="n"/>
    </row>
    <row r="17">
      <c r="A17" s="55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</row>
    <row r="19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</row>
    <row r="22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</row>
    <row r="23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</row>
    <row r="25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</row>
  </sheetData>
  <mergeCells count="8">
    <mergeCell ref="B14:K14"/>
    <mergeCell ref="B13:K13"/>
    <mergeCell ref="A2:K2"/>
    <mergeCell ref="A11:K11"/>
    <mergeCell ref="B12:K12"/>
    <mergeCell ref="B15:K15"/>
    <mergeCell ref="B16:K16"/>
    <mergeCell ref="A1:K1"/>
  </mergeCells>
  <conditionalFormatting sqref="I6:I8">
    <cfRule type="cellIs" priority="1" operator="lessThan" dxfId="0">
      <formula>0.175</formula>
    </cfRule>
    <cfRule type="cellIs" priority="2" operator="greaterThanOrEqual" dxfId="1">
      <formula>0.175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1" customWidth="1" style="46" min="1" max="1"/>
    <col width="28" customWidth="1" style="46" min="2" max="2"/>
    <col width="12" customWidth="1" style="46" min="3" max="3"/>
    <col width="10" customWidth="1" style="46" min="4" max="4"/>
    <col width="38" customWidth="1" style="46" min="5" max="5"/>
    <col width="14" customWidth="1" style="46" min="6" max="6"/>
    <col width="14" customWidth="1" style="46" min="7" max="7"/>
    <col width="16" customWidth="1" style="46" min="8" max="8"/>
    <col width="12" customWidth="1" style="46" min="9" max="9"/>
    <col width="12" customWidth="1" style="46" min="10" max="10"/>
    <col width="14" customWidth="1" style="46" min="11" max="11"/>
    <col width="16" customWidth="1" style="46" min="12" max="12"/>
    <col width="48" customWidth="1" style="46" min="13" max="13"/>
    <col width="34" customWidth="1" style="46" min="14" max="14"/>
    <col width="34" customWidth="1" style="46" min="15" max="15"/>
  </cols>
  <sheetData>
    <row r="1">
      <c r="A1" s="39" t="inlineStr">
        <is>
          <t>Canonical ID</t>
        </is>
      </c>
      <c r="B1" s="39" t="inlineStr">
        <is>
          <t>System</t>
        </is>
      </c>
      <c r="C1" s="39" t="inlineStr">
        <is>
          <t>Source frame</t>
        </is>
      </c>
      <c r="D1" s="39" t="inlineStr">
        <is>
          <t>Source row</t>
        </is>
      </c>
      <c r="E1" s="39" t="inlineStr">
        <is>
          <t>Reported operational encoder/retriever</t>
        </is>
      </c>
      <c r="F1" s="39" t="inlineStr">
        <is>
          <t>Core tier</t>
        </is>
      </c>
      <c r="G1" s="39" t="inlineStr">
        <is>
          <t>Expanded tier</t>
        </is>
      </c>
      <c r="H1" s="39" t="inlineStr">
        <is>
          <t>Adversarial tier</t>
        </is>
      </c>
      <c r="I1" s="39" t="inlineStr">
        <is>
          <t>Confidence</t>
        </is>
      </c>
      <c r="J1" s="39" t="inlineStr">
        <is>
          <t>Core include</t>
        </is>
      </c>
      <c r="K1" s="39" t="inlineStr">
        <is>
          <t>Expanded include</t>
        </is>
      </c>
      <c r="L1" s="39" t="inlineStr">
        <is>
          <t>Adversarial include</t>
        </is>
      </c>
      <c r="M1" s="39" t="inlineStr">
        <is>
          <t>Audit note</t>
        </is>
      </c>
      <c r="N1" s="39" t="inlineStr">
        <is>
          <t>Review/source URL</t>
        </is>
      </c>
      <c r="O1" s="39" t="inlineStr">
        <is>
          <t>Primary source URL</t>
        </is>
      </c>
      <c r="P1" t="inlineStr">
        <is>
          <t>Coding provenance</t>
        </is>
      </c>
    </row>
    <row r="2">
      <c r="A2" s="55" t="inlineStr">
        <is>
          <t>A01</t>
        </is>
      </c>
      <c r="B2" s="55" t="inlineStr">
        <is>
          <t>Abdullahi / CliniqIR</t>
        </is>
      </c>
      <c r="C2" s="55" t="inlineStr">
        <is>
          <t>Amugongo</t>
        </is>
      </c>
      <c r="D2" s="55" t="inlineStr">
        <is>
          <t>1</t>
        </is>
      </c>
      <c r="E2" s="55" t="inlineStr">
        <is>
          <t>ClinicalBERT, PubMedBERT, SciBERT, SapBERT, CODER, MedCPT; selected MedCPT + BM25</t>
        </is>
      </c>
      <c r="F2" s="55" t="inlineStr">
        <is>
          <t>Tier 1</t>
        </is>
      </c>
      <c r="G2" s="55" t="inlineStr">
        <is>
          <t>Tier 1</t>
        </is>
      </c>
      <c r="H2" s="55" t="inlineStr">
        <is>
          <t>Tier 1</t>
        </is>
      </c>
      <c r="I2" s="55" t="inlineStr">
        <is>
          <t>High</t>
        </is>
      </c>
      <c r="J2" s="55" t="inlineStr">
        <is>
          <t>Y</t>
        </is>
      </c>
      <c r="K2" s="55" t="inlineStr">
        <is>
          <t>Y</t>
        </is>
      </c>
      <c r="L2" s="55" t="inlineStr">
        <is>
          <t>Y</t>
        </is>
      </c>
      <c r="M2" s="55" t="inlineStr">
        <is>
          <t>Operational dense component is MedCPT, a retrieval-trained biomedical encoder.</t>
        </is>
      </c>
      <c r="N2" s="55" t="inlineStr">
        <is>
          <t>https://journals.plos.org/digitalhealth/article?id=10.1371/journal.pdig.0000877</t>
        </is>
      </c>
      <c r="O2" s="55" t="str"/>
    </row>
    <row r="3">
      <c r="A3" s="55" t="inlineStr">
        <is>
          <t>A04</t>
        </is>
      </c>
      <c r="B3" s="55" t="inlineStr">
        <is>
          <t>Aratesh</t>
        </is>
      </c>
      <c r="C3" s="55" t="inlineStr">
        <is>
          <t>Amugongo</t>
        </is>
      </c>
      <c r="D3" s="55" t="inlineStr">
        <is>
          <t>4</t>
        </is>
      </c>
      <c r="E3" s="55" t="inlineStr">
        <is>
          <t>OpenAI text-embedding-ada-002</t>
        </is>
      </c>
      <c r="F3" s="55" t="inlineStr">
        <is>
          <t>Tier 1</t>
        </is>
      </c>
      <c r="G3" s="55" t="inlineStr">
        <is>
          <t>Tier 1</t>
        </is>
      </c>
      <c r="H3" s="55" t="inlineStr">
        <is>
          <t>Tier 1</t>
        </is>
      </c>
      <c r="I3" s="55" t="inlineStr">
        <is>
          <t>Moderate</t>
        </is>
      </c>
      <c r="J3" s="55" t="inlineStr">
        <is>
          <t>Y</t>
        </is>
      </c>
      <c r="K3" s="55" t="inlineStr">
        <is>
          <t>Y</t>
        </is>
      </c>
      <c r="L3" s="55" t="inlineStr">
        <is>
          <t>Y</t>
        </is>
      </c>
      <c r="M3" s="55" t="inlineStr">
        <is>
          <t>Dedicated embedding service used for retrieval.</t>
        </is>
      </c>
      <c r="N3" s="55" t="inlineStr">
        <is>
          <t>https://journals.plos.org/digitalhealth/article?id=10.1371/journal.pdig.0000877</t>
        </is>
      </c>
      <c r="O3" s="55" t="str"/>
    </row>
    <row r="4">
      <c r="A4" s="55" t="inlineStr">
        <is>
          <t>A05</t>
        </is>
      </c>
      <c r="B4" s="55" t="inlineStr">
        <is>
          <t>Azimi / RAP</t>
        </is>
      </c>
      <c r="C4" s="55" t="inlineStr">
        <is>
          <t>Amugongo</t>
        </is>
      </c>
      <c r="D4" s="55" t="inlineStr">
        <is>
          <t>5</t>
        </is>
      </c>
      <c r="E4" s="55" t="inlineStr">
        <is>
          <t>Amazon Titan Text Embeddings V2</t>
        </is>
      </c>
      <c r="F4" s="55" t="inlineStr">
        <is>
          <t>Tier 1</t>
        </is>
      </c>
      <c r="G4" s="55" t="inlineStr">
        <is>
          <t>Tier 1</t>
        </is>
      </c>
      <c r="H4" s="55" t="inlineStr">
        <is>
          <t>Tier 1</t>
        </is>
      </c>
      <c r="I4" s="55" t="inlineStr">
        <is>
          <t>Moderate</t>
        </is>
      </c>
      <c r="J4" s="55" t="inlineStr">
        <is>
          <t>Y</t>
        </is>
      </c>
      <c r="K4" s="55" t="inlineStr">
        <is>
          <t>Y</t>
        </is>
      </c>
      <c r="L4" s="55" t="inlineStr">
        <is>
          <t>Y</t>
        </is>
      </c>
      <c r="M4" s="55" t="inlineStr">
        <is>
          <t>Dedicated embedding service used for retrieval.</t>
        </is>
      </c>
      <c r="N4" s="55" t="inlineStr">
        <is>
          <t>https://journals.plos.org/digitalhealth/article?id=10.1371/journal.pdig.0000877</t>
        </is>
      </c>
      <c r="O4" s="55" t="str"/>
    </row>
    <row r="5">
      <c r="A5" s="55" t="inlineStr">
        <is>
          <t>A06</t>
        </is>
      </c>
      <c r="B5" s="55" t="inlineStr">
        <is>
          <t>Benfenati</t>
        </is>
      </c>
      <c r="C5" s="55" t="inlineStr">
        <is>
          <t>Amugongo</t>
        </is>
      </c>
      <c r="D5" s="55" t="inlineStr">
        <is>
          <t>6</t>
        </is>
      </c>
      <c r="E5" s="55" t="inlineStr">
        <is>
          <t>GTE</t>
        </is>
      </c>
      <c r="F5" s="55" t="inlineStr">
        <is>
          <t>Tier 1</t>
        </is>
      </c>
      <c r="G5" s="55" t="inlineStr">
        <is>
          <t>Tier 1</t>
        </is>
      </c>
      <c r="H5" s="55" t="inlineStr">
        <is>
          <t>Tier 1</t>
        </is>
      </c>
      <c r="I5" s="55" t="inlineStr">
        <is>
          <t>Moderate</t>
        </is>
      </c>
      <c r="J5" s="55" t="inlineStr">
        <is>
          <t>Y</t>
        </is>
      </c>
      <c r="K5" s="55" t="inlineStr">
        <is>
          <t>Y</t>
        </is>
      </c>
      <c r="L5" s="55" t="inlineStr">
        <is>
          <t>Y</t>
        </is>
      </c>
      <c r="M5" s="55" t="inlineStr">
        <is>
          <t>GTE is trained as a general text retriever/embedding model.</t>
        </is>
      </c>
      <c r="N5" s="55" t="inlineStr">
        <is>
          <t>https://journals.plos.org/digitalhealth/article?id=10.1371/journal.pdig.0000877</t>
        </is>
      </c>
      <c r="O5" s="55" t="str"/>
    </row>
    <row r="6">
      <c r="A6" s="55" t="inlineStr">
        <is>
          <t>A07</t>
        </is>
      </c>
      <c r="B6" s="55" t="inlineStr">
        <is>
          <t>Bora &amp; Cuayáhuitl</t>
        </is>
      </c>
      <c r="C6" s="55" t="inlineStr">
        <is>
          <t>Amugongo</t>
        </is>
      </c>
      <c r="D6" s="55" t="inlineStr">
        <is>
          <t>7</t>
        </is>
      </c>
      <c r="E6" s="55" t="inlineStr">
        <is>
          <t>gtr-t5-large</t>
        </is>
      </c>
      <c r="F6" s="55" t="inlineStr">
        <is>
          <t>Tier 1</t>
        </is>
      </c>
      <c r="G6" s="55" t="inlineStr">
        <is>
          <t>Tier 1</t>
        </is>
      </c>
      <c r="H6" s="55" t="inlineStr">
        <is>
          <t>Tier 1</t>
        </is>
      </c>
      <c r="I6" s="55" t="inlineStr">
        <is>
          <t>Moderate</t>
        </is>
      </c>
      <c r="J6" s="55" t="inlineStr">
        <is>
          <t>Y</t>
        </is>
      </c>
      <c r="K6" s="55" t="inlineStr">
        <is>
          <t>Y</t>
        </is>
      </c>
      <c r="L6" s="55" t="inlineStr">
        <is>
          <t>Y</t>
        </is>
      </c>
      <c r="M6" s="55" t="inlineStr">
        <is>
          <t>GTR is trained for text retrieval.</t>
        </is>
      </c>
      <c r="N6" s="55" t="inlineStr">
        <is>
          <t>https://journals.plos.org/digitalhealth/article?id=10.1371/journal.pdig.0000877</t>
        </is>
      </c>
      <c r="O6" s="55" t="str"/>
    </row>
    <row r="7">
      <c r="A7" s="55" t="inlineStr">
        <is>
          <t>A09</t>
        </is>
      </c>
      <c r="B7" s="55" t="inlineStr">
        <is>
          <t>Chen [22]</t>
        </is>
      </c>
      <c r="C7" s="55" t="inlineStr">
        <is>
          <t>Amugongo</t>
        </is>
      </c>
      <c r="D7" s="55" t="inlineStr">
        <is>
          <t>9</t>
        </is>
      </c>
      <c r="E7" s="55" t="inlineStr">
        <is>
          <t>all-MiniLM-L6-v2</t>
        </is>
      </c>
      <c r="F7" s="55" t="inlineStr">
        <is>
          <t>Tier 1</t>
        </is>
      </c>
      <c r="G7" s="55" t="inlineStr">
        <is>
          <t>Tier 1</t>
        </is>
      </c>
      <c r="H7" s="55" t="inlineStr">
        <is>
          <t>Tier 1</t>
        </is>
      </c>
      <c r="I7" s="55" t="inlineStr">
        <is>
          <t>Moderate</t>
        </is>
      </c>
      <c r="J7" s="55" t="inlineStr">
        <is>
          <t>Y</t>
        </is>
      </c>
      <c r="K7" s="55" t="inlineStr">
        <is>
          <t>Y</t>
        </is>
      </c>
      <c r="L7" s="55" t="inlineStr">
        <is>
          <t>Y</t>
        </is>
      </c>
      <c r="M7" s="55" t="inlineStr">
        <is>
          <t>Sentence-transformer checkpoint trained for similarity/retrieval.</t>
        </is>
      </c>
      <c r="N7" s="55" t="inlineStr">
        <is>
          <t>https://journals.plos.org/digitalhealth/article?id=10.1371/journal.pdig.0000877</t>
        </is>
      </c>
      <c r="O7" s="55" t="str"/>
    </row>
    <row r="8">
      <c r="A8" s="55" t="inlineStr">
        <is>
          <t>A12</t>
        </is>
      </c>
      <c r="B8" s="55" t="inlineStr">
        <is>
          <t>Fukushima / JGCLLM</t>
        </is>
      </c>
      <c r="C8" s="55" t="inlineStr">
        <is>
          <t>Amugongo</t>
        </is>
      </c>
      <c r="D8" s="55" t="inlineStr">
        <is>
          <t>12</t>
        </is>
      </c>
      <c r="E8" s="55" t="inlineStr">
        <is>
          <t>GLuCoSE-base-ja</t>
        </is>
      </c>
      <c r="F8" s="55" t="inlineStr">
        <is>
          <t>Tier 1</t>
        </is>
      </c>
      <c r="G8" s="55" t="inlineStr">
        <is>
          <t>Tier 1</t>
        </is>
      </c>
      <c r="H8" s="55" t="inlineStr">
        <is>
          <t>Tier 1</t>
        </is>
      </c>
      <c r="I8" s="55" t="inlineStr">
        <is>
          <t>Moderate</t>
        </is>
      </c>
      <c r="J8" s="55" t="inlineStr">
        <is>
          <t>Y</t>
        </is>
      </c>
      <c r="K8" s="55" t="inlineStr">
        <is>
          <t>Y</t>
        </is>
      </c>
      <c r="L8" s="55" t="inlineStr">
        <is>
          <t>Y</t>
        </is>
      </c>
      <c r="M8" s="55" t="inlineStr">
        <is>
          <t>Contrastive sentence-embedding model.</t>
        </is>
      </c>
      <c r="N8" s="55" t="inlineStr">
        <is>
          <t>https://journals.plos.org/digitalhealth/article?id=10.1371/journal.pdig.0000877</t>
        </is>
      </c>
      <c r="O8" s="55" t="str"/>
    </row>
    <row r="9">
      <c r="A9" s="55" t="inlineStr">
        <is>
          <t>A14</t>
        </is>
      </c>
      <c r="B9" s="55" t="inlineStr">
        <is>
          <t>Garcia</t>
        </is>
      </c>
      <c r="C9" s="55" t="inlineStr">
        <is>
          <t>Amugongo</t>
        </is>
      </c>
      <c r="D9" s="55" t="inlineStr">
        <is>
          <t>14</t>
        </is>
      </c>
      <c r="E9" s="55" t="inlineStr">
        <is>
          <t>BGE</t>
        </is>
      </c>
      <c r="F9" s="55" t="inlineStr">
        <is>
          <t>Tier 1</t>
        </is>
      </c>
      <c r="G9" s="55" t="inlineStr">
        <is>
          <t>Tier 1</t>
        </is>
      </c>
      <c r="H9" s="55" t="inlineStr">
        <is>
          <t>Tier 1</t>
        </is>
      </c>
      <c r="I9" s="55" t="inlineStr">
        <is>
          <t>Moderate</t>
        </is>
      </c>
      <c r="J9" s="55" t="inlineStr">
        <is>
          <t>Y</t>
        </is>
      </c>
      <c r="K9" s="55" t="inlineStr">
        <is>
          <t>Y</t>
        </is>
      </c>
      <c r="L9" s="55" t="inlineStr">
        <is>
          <t>Y</t>
        </is>
      </c>
      <c r="M9" s="55" t="inlineStr">
        <is>
          <t>BGE is retrieval/contrastive-trained.</t>
        </is>
      </c>
      <c r="N9" s="55" t="inlineStr">
        <is>
          <t>https://journals.plos.org/digitalhealth/article?id=10.1371/journal.pdig.0000877</t>
        </is>
      </c>
      <c r="O9" s="55" t="str"/>
    </row>
    <row r="10">
      <c r="A10" s="55" t="inlineStr">
        <is>
          <t>A15</t>
        </is>
      </c>
      <c r="B10" s="55" t="inlineStr">
        <is>
          <t>Ge</t>
        </is>
      </c>
      <c r="C10" s="55" t="inlineStr">
        <is>
          <t>Amugongo</t>
        </is>
      </c>
      <c r="D10" s="55" t="inlineStr">
        <is>
          <t>15</t>
        </is>
      </c>
      <c r="E10" s="55" t="inlineStr">
        <is>
          <t>OpenAI text-embedding-ada-002</t>
        </is>
      </c>
      <c r="F10" s="55" t="inlineStr">
        <is>
          <t>Tier 1</t>
        </is>
      </c>
      <c r="G10" s="55" t="inlineStr">
        <is>
          <t>Tier 1</t>
        </is>
      </c>
      <c r="H10" s="55" t="inlineStr">
        <is>
          <t>Tier 1</t>
        </is>
      </c>
      <c r="I10" s="55" t="inlineStr">
        <is>
          <t>Moderate</t>
        </is>
      </c>
      <c r="J10" s="55" t="inlineStr">
        <is>
          <t>Y</t>
        </is>
      </c>
      <c r="K10" s="55" t="inlineStr">
        <is>
          <t>Y</t>
        </is>
      </c>
      <c r="L10" s="55" t="inlineStr">
        <is>
          <t>Y</t>
        </is>
      </c>
      <c r="M10" s="55" t="inlineStr">
        <is>
          <t>Dedicated embedding service.</t>
        </is>
      </c>
      <c r="N10" s="55" t="inlineStr">
        <is>
          <t>https://journals.plos.org/digitalhealth/article?id=10.1371/journal.pdig.0000877</t>
        </is>
      </c>
      <c r="O10" s="55" t="str"/>
    </row>
    <row r="11">
      <c r="A11" s="55" t="inlineStr">
        <is>
          <t>A17</t>
        </is>
      </c>
      <c r="B11" s="55" t="inlineStr">
        <is>
          <t>Guo / RALL</t>
        </is>
      </c>
      <c r="C11" s="55" t="inlineStr">
        <is>
          <t>Amugongo</t>
        </is>
      </c>
      <c r="D11" s="55" t="inlineStr">
        <is>
          <t>17</t>
        </is>
      </c>
      <c r="E11" s="55" t="inlineStr">
        <is>
          <t>Dense Passage Retriever with fine-tuned query encoder</t>
        </is>
      </c>
      <c r="F11" s="55" t="inlineStr">
        <is>
          <t>Tier 1</t>
        </is>
      </c>
      <c r="G11" s="55" t="inlineStr">
        <is>
          <t>Tier 1</t>
        </is>
      </c>
      <c r="H11" s="55" t="inlineStr">
        <is>
          <t>Tier 1</t>
        </is>
      </c>
      <c r="I11" s="55" t="inlineStr">
        <is>
          <t>High</t>
        </is>
      </c>
      <c r="J11" s="55" t="inlineStr">
        <is>
          <t>Y</t>
        </is>
      </c>
      <c r="K11" s="55" t="inlineStr">
        <is>
          <t>Y</t>
        </is>
      </c>
      <c r="L11" s="55" t="inlineStr">
        <is>
          <t>Y</t>
        </is>
      </c>
      <c r="M11" s="55" t="inlineStr">
        <is>
          <t>Primary paper uses DPR and fine-tunes the query encoder; not bare BERT.</t>
        </is>
      </c>
      <c r="N11" s="55" t="inlineStr">
        <is>
          <t>https://journals.plos.org/digitalhealth/article?id=10.1371/journal.pdig.0000877</t>
        </is>
      </c>
      <c r="O11" s="55" t="inlineStr">
        <is>
          <t>https://doi.org/10.1016/j.jbi.2023.104580</t>
        </is>
      </c>
    </row>
    <row r="12">
      <c r="A12" s="55" t="inlineStr">
        <is>
          <t>A18</t>
        </is>
      </c>
      <c r="B12" s="55" t="inlineStr">
        <is>
          <t>Jeong / Self-BioRAG</t>
        </is>
      </c>
      <c r="C12" s="55" t="inlineStr">
        <is>
          <t>Amugongo</t>
        </is>
      </c>
      <c r="D12" s="55" t="inlineStr">
        <is>
          <t>18</t>
        </is>
      </c>
      <c r="E12" s="55" t="inlineStr">
        <is>
          <t>MedCPT</t>
        </is>
      </c>
      <c r="F12" s="55" t="inlineStr">
        <is>
          <t>Tier 1</t>
        </is>
      </c>
      <c r="G12" s="55" t="inlineStr">
        <is>
          <t>Tier 1</t>
        </is>
      </c>
      <c r="H12" s="55" t="inlineStr">
        <is>
          <t>Tier 1</t>
        </is>
      </c>
      <c r="I12" s="55" t="inlineStr">
        <is>
          <t>High</t>
        </is>
      </c>
      <c r="J12" s="55" t="inlineStr">
        <is>
          <t>Y</t>
        </is>
      </c>
      <c r="K12" s="55" t="inlineStr">
        <is>
          <t>Y</t>
        </is>
      </c>
      <c r="L12" s="55" t="inlineStr">
        <is>
          <t>Y</t>
        </is>
      </c>
      <c r="M12" s="55" t="inlineStr">
        <is>
          <t>MedCPT is contrastively trained on PubMed search logs.</t>
        </is>
      </c>
      <c r="N12" s="55" t="inlineStr">
        <is>
          <t>https://journals.plos.org/digitalhealth/article?id=10.1371/journal.pdig.0000877</t>
        </is>
      </c>
      <c r="O12" s="55" t="inlineStr">
        <is>
          <t>https://doi.org/10.1093/bioinformatics/btae238</t>
        </is>
      </c>
    </row>
    <row r="13">
      <c r="A13" s="55" t="inlineStr">
        <is>
          <t>A19</t>
        </is>
      </c>
      <c r="B13" s="55" t="inlineStr">
        <is>
          <t>Jia</t>
        </is>
      </c>
      <c r="C13" s="55" t="inlineStr">
        <is>
          <t>Amugongo</t>
        </is>
      </c>
      <c r="D13" s="55" t="inlineStr">
        <is>
          <t>19</t>
        </is>
      </c>
      <c r="E13" s="55" t="inlineStr">
        <is>
          <t>BGE</t>
        </is>
      </c>
      <c r="F13" s="55" t="inlineStr">
        <is>
          <t>Tier 1</t>
        </is>
      </c>
      <c r="G13" s="55" t="inlineStr">
        <is>
          <t>Tier 1</t>
        </is>
      </c>
      <c r="H13" s="55" t="inlineStr">
        <is>
          <t>Tier 1</t>
        </is>
      </c>
      <c r="I13" s="55" t="inlineStr">
        <is>
          <t>Moderate</t>
        </is>
      </c>
      <c r="J13" s="55" t="inlineStr">
        <is>
          <t>Y</t>
        </is>
      </c>
      <c r="K13" s="55" t="inlineStr">
        <is>
          <t>Y</t>
        </is>
      </c>
      <c r="L13" s="55" t="inlineStr">
        <is>
          <t>Y</t>
        </is>
      </c>
      <c r="M13" s="55" t="inlineStr">
        <is>
          <t>Retrieval-trained embedding model.</t>
        </is>
      </c>
      <c r="N13" s="55" t="inlineStr">
        <is>
          <t>https://journals.plos.org/digitalhealth/article?id=10.1371/journal.pdig.0000877</t>
        </is>
      </c>
      <c r="O13" s="55" t="str"/>
    </row>
    <row r="14">
      <c r="A14" s="55" t="inlineStr">
        <is>
          <t>A20</t>
        </is>
      </c>
      <c r="B14" s="55" t="inlineStr">
        <is>
          <t>Jiang</t>
        </is>
      </c>
      <c r="C14" s="55" t="inlineStr">
        <is>
          <t>Amugongo</t>
        </is>
      </c>
      <c r="D14" s="55" t="inlineStr">
        <is>
          <t>20</t>
        </is>
      </c>
      <c r="E14" s="55" t="inlineStr">
        <is>
          <t>BGE</t>
        </is>
      </c>
      <c r="F14" s="55" t="inlineStr">
        <is>
          <t>Tier 1</t>
        </is>
      </c>
      <c r="G14" s="55" t="inlineStr">
        <is>
          <t>Tier 1</t>
        </is>
      </c>
      <c r="H14" s="55" t="inlineStr">
        <is>
          <t>Tier 1</t>
        </is>
      </c>
      <c r="I14" s="55" t="inlineStr">
        <is>
          <t>Moderate</t>
        </is>
      </c>
      <c r="J14" s="55" t="inlineStr">
        <is>
          <t>Y</t>
        </is>
      </c>
      <c r="K14" s="55" t="inlineStr">
        <is>
          <t>Y</t>
        </is>
      </c>
      <c r="L14" s="55" t="inlineStr">
        <is>
          <t>Y</t>
        </is>
      </c>
      <c r="M14" s="55" t="inlineStr">
        <is>
          <t>Retrieval-trained embedding model.</t>
        </is>
      </c>
      <c r="N14" s="55" t="inlineStr">
        <is>
          <t>https://journals.plos.org/digitalhealth/article?id=10.1371/journal.pdig.0000877</t>
        </is>
      </c>
      <c r="O14" s="55" t="str"/>
    </row>
    <row r="15">
      <c r="A15" s="55" t="inlineStr">
        <is>
          <t>A21</t>
        </is>
      </c>
      <c r="B15" s="55" t="inlineStr">
        <is>
          <t>Jin [69]</t>
        </is>
      </c>
      <c r="C15" s="55" t="inlineStr">
        <is>
          <t>Amugongo</t>
        </is>
      </c>
      <c r="D15" s="55" t="inlineStr">
        <is>
          <t>21</t>
        </is>
      </c>
      <c r="E15" s="55" t="inlineStr">
        <is>
          <t>OpenAI text-embedding-ada-002</t>
        </is>
      </c>
      <c r="F15" s="55" t="inlineStr">
        <is>
          <t>Tier 1</t>
        </is>
      </c>
      <c r="G15" s="55" t="inlineStr">
        <is>
          <t>Tier 1</t>
        </is>
      </c>
      <c r="H15" s="55" t="inlineStr">
        <is>
          <t>Tier 1</t>
        </is>
      </c>
      <c r="I15" s="55" t="inlineStr">
        <is>
          <t>Moderate</t>
        </is>
      </c>
      <c r="J15" s="55" t="inlineStr">
        <is>
          <t>Y</t>
        </is>
      </c>
      <c r="K15" s="55" t="inlineStr">
        <is>
          <t>Y</t>
        </is>
      </c>
      <c r="L15" s="55" t="inlineStr">
        <is>
          <t>Y</t>
        </is>
      </c>
      <c r="M15" s="55" t="inlineStr">
        <is>
          <t>Dedicated embedding service.</t>
        </is>
      </c>
      <c r="N15" s="55" t="inlineStr">
        <is>
          <t>https://journals.plos.org/digitalhealth/article?id=10.1371/journal.pdig.0000877</t>
        </is>
      </c>
      <c r="O15" s="55" t="str"/>
    </row>
    <row r="16">
      <c r="A16" s="55" t="inlineStr">
        <is>
          <t>A23</t>
        </is>
      </c>
      <c r="B16" s="55" t="inlineStr">
        <is>
          <t>Hou</t>
        </is>
      </c>
      <c r="C16" s="55" t="inlineStr">
        <is>
          <t>Amugongo</t>
        </is>
      </c>
      <c r="D16" s="55" t="inlineStr">
        <is>
          <t>23</t>
        </is>
      </c>
      <c r="E16" s="55" t="inlineStr">
        <is>
          <t>OpenAI text-embedding-3-small</t>
        </is>
      </c>
      <c r="F16" s="55" t="inlineStr">
        <is>
          <t>Tier 1</t>
        </is>
      </c>
      <c r="G16" s="55" t="inlineStr">
        <is>
          <t>Tier 1</t>
        </is>
      </c>
      <c r="H16" s="55" t="inlineStr">
        <is>
          <t>Tier 1</t>
        </is>
      </c>
      <c r="I16" s="55" t="inlineStr">
        <is>
          <t>Moderate</t>
        </is>
      </c>
      <c r="J16" s="55" t="inlineStr">
        <is>
          <t>Y</t>
        </is>
      </c>
      <c r="K16" s="55" t="inlineStr">
        <is>
          <t>Y</t>
        </is>
      </c>
      <c r="L16" s="55" t="inlineStr">
        <is>
          <t>Y</t>
        </is>
      </c>
      <c r="M16" s="55" t="inlineStr">
        <is>
          <t>Dedicated embedding service.</t>
        </is>
      </c>
      <c r="N16" s="55" t="inlineStr">
        <is>
          <t>https://journals.plos.org/digitalhealth/article?id=10.1371/journal.pdig.0000877</t>
        </is>
      </c>
      <c r="O16" s="55" t="str"/>
    </row>
    <row r="17">
      <c r="A17" s="55" t="inlineStr">
        <is>
          <t>A25</t>
        </is>
      </c>
      <c r="B17" s="55" t="inlineStr">
        <is>
          <t>Ke [73]</t>
        </is>
      </c>
      <c r="C17" s="55" t="inlineStr">
        <is>
          <t>Amugongo</t>
        </is>
      </c>
      <c r="D17" s="55" t="inlineStr">
        <is>
          <t>25</t>
        </is>
      </c>
      <c r="E17" s="55" t="inlineStr">
        <is>
          <t>OpenAI text-embedding-ada-002</t>
        </is>
      </c>
      <c r="F17" s="55" t="inlineStr">
        <is>
          <t>Tier 1</t>
        </is>
      </c>
      <c r="G17" s="55" t="inlineStr">
        <is>
          <t>Tier 1</t>
        </is>
      </c>
      <c r="H17" s="55" t="inlineStr">
        <is>
          <t>Tier 1</t>
        </is>
      </c>
      <c r="I17" s="55" t="inlineStr">
        <is>
          <t>Moderate</t>
        </is>
      </c>
      <c r="J17" s="55" t="inlineStr">
        <is>
          <t>Y</t>
        </is>
      </c>
      <c r="K17" s="55" t="inlineStr">
        <is>
          <t>Y</t>
        </is>
      </c>
      <c r="L17" s="55" t="inlineStr">
        <is>
          <t>Y</t>
        </is>
      </c>
      <c r="M17" s="55" t="inlineStr">
        <is>
          <t>Dedicated embedding service.</t>
        </is>
      </c>
      <c r="N17" s="55" t="inlineStr">
        <is>
          <t>https://journals.plos.org/digitalhealth/article?id=10.1371/journal.pdig.0000877</t>
        </is>
      </c>
      <c r="O17" s="55" t="str"/>
    </row>
    <row r="18">
      <c r="A18" s="55" t="inlineStr">
        <is>
          <t>A27</t>
        </is>
      </c>
      <c r="B18" s="55" t="inlineStr">
        <is>
          <t>Klang</t>
        </is>
      </c>
      <c r="C18" s="55" t="inlineStr">
        <is>
          <t>Amugongo</t>
        </is>
      </c>
      <c r="D18" s="55" t="inlineStr">
        <is>
          <t>27</t>
        </is>
      </c>
      <c r="E18" s="55" t="inlineStr">
        <is>
          <t>GIST-large-embedding-v0</t>
        </is>
      </c>
      <c r="F18" s="55" t="inlineStr">
        <is>
          <t>Tier 1</t>
        </is>
      </c>
      <c r="G18" s="55" t="inlineStr">
        <is>
          <t>Tier 1</t>
        </is>
      </c>
      <c r="H18" s="55" t="inlineStr">
        <is>
          <t>Tier 1</t>
        </is>
      </c>
      <c r="I18" s="55" t="inlineStr">
        <is>
          <t>Moderate</t>
        </is>
      </c>
      <c r="J18" s="55" t="inlineStr">
        <is>
          <t>Y</t>
        </is>
      </c>
      <c r="K18" s="55" t="inlineStr">
        <is>
          <t>Y</t>
        </is>
      </c>
      <c r="L18" s="55" t="inlineStr">
        <is>
          <t>Y</t>
        </is>
      </c>
      <c r="M18" s="55" t="inlineStr">
        <is>
          <t>GISTEmbed is trained as a text-embedding/retrieval model.</t>
        </is>
      </c>
      <c r="N18" s="55" t="inlineStr">
        <is>
          <t>https://journals.plos.org/digitalhealth/article?id=10.1371/journal.pdig.0000877</t>
        </is>
      </c>
      <c r="O18" s="55" t="str"/>
    </row>
    <row r="19">
      <c r="A19" s="55" t="inlineStr">
        <is>
          <t>A29</t>
        </is>
      </c>
      <c r="B19" s="55" t="inlineStr">
        <is>
          <t>Lee</t>
        </is>
      </c>
      <c r="C19" s="55" t="inlineStr">
        <is>
          <t>Amugongo</t>
        </is>
      </c>
      <c r="D19" s="55" t="inlineStr">
        <is>
          <t>29</t>
        </is>
      </c>
      <c r="E19" s="55" t="inlineStr">
        <is>
          <t>OpenAI embedding models</t>
        </is>
      </c>
      <c r="F19" s="55" t="inlineStr">
        <is>
          <t>Tier 1</t>
        </is>
      </c>
      <c r="G19" s="55" t="inlineStr">
        <is>
          <t>Tier 1</t>
        </is>
      </c>
      <c r="H19" s="55" t="inlineStr">
        <is>
          <t>Tier 1</t>
        </is>
      </c>
      <c r="I19" s="55" t="inlineStr">
        <is>
          <t>Moderate</t>
        </is>
      </c>
      <c r="J19" s="55" t="inlineStr">
        <is>
          <t>Y</t>
        </is>
      </c>
      <c r="K19" s="55" t="inlineStr">
        <is>
          <t>Y</t>
        </is>
      </c>
      <c r="L19" s="55" t="inlineStr">
        <is>
          <t>Y</t>
        </is>
      </c>
      <c r="M19" s="55" t="inlineStr">
        <is>
          <t>Dedicated embedding APIs.</t>
        </is>
      </c>
      <c r="N19" s="55" t="inlineStr">
        <is>
          <t>https://journals.plos.org/digitalhealth/article?id=10.1371/journal.pdig.0000877</t>
        </is>
      </c>
      <c r="O19" s="55" t="str"/>
    </row>
    <row r="20">
      <c r="A20" s="55" t="inlineStr">
        <is>
          <t>A31</t>
        </is>
      </c>
      <c r="B20" s="55" t="inlineStr">
        <is>
          <t>Li [80]</t>
        </is>
      </c>
      <c r="C20" s="55" t="inlineStr">
        <is>
          <t>Amugongo</t>
        </is>
      </c>
      <c r="D20" s="55" t="inlineStr">
        <is>
          <t>31</t>
        </is>
      </c>
      <c r="E20" s="55" t="inlineStr">
        <is>
          <t>OpenAI text-embedding-3-small</t>
        </is>
      </c>
      <c r="F20" s="55" t="inlineStr">
        <is>
          <t>Tier 1</t>
        </is>
      </c>
      <c r="G20" s="55" t="inlineStr">
        <is>
          <t>Tier 1</t>
        </is>
      </c>
      <c r="H20" s="55" t="inlineStr">
        <is>
          <t>Tier 1</t>
        </is>
      </c>
      <c r="I20" s="55" t="inlineStr">
        <is>
          <t>Moderate</t>
        </is>
      </c>
      <c r="J20" s="55" t="inlineStr">
        <is>
          <t>Y</t>
        </is>
      </c>
      <c r="K20" s="55" t="inlineStr">
        <is>
          <t>Y</t>
        </is>
      </c>
      <c r="L20" s="55" t="inlineStr">
        <is>
          <t>Y</t>
        </is>
      </c>
      <c r="M20" s="55" t="inlineStr">
        <is>
          <t>Dedicated embedding service.</t>
        </is>
      </c>
      <c r="N20" s="55" t="inlineStr">
        <is>
          <t>https://journals.plos.org/digitalhealth/article?id=10.1371/journal.pdig.0000877</t>
        </is>
      </c>
      <c r="O20" s="55" t="str"/>
    </row>
    <row r="21">
      <c r="A21" s="55" t="inlineStr">
        <is>
          <t>A32</t>
        </is>
      </c>
      <c r="B21" s="55" t="inlineStr">
        <is>
          <t>Long / ChatENT</t>
        </is>
      </c>
      <c r="C21" s="55" t="inlineStr">
        <is>
          <t>Amugongo</t>
        </is>
      </c>
      <c r="D21" s="55" t="inlineStr">
        <is>
          <t>32</t>
        </is>
      </c>
      <c r="E21" s="55" t="inlineStr">
        <is>
          <t>OpenAI text-embedding-ada-002</t>
        </is>
      </c>
      <c r="F21" s="55" t="inlineStr">
        <is>
          <t>Tier 1</t>
        </is>
      </c>
      <c r="G21" s="55" t="inlineStr">
        <is>
          <t>Tier 1</t>
        </is>
      </c>
      <c r="H21" s="55" t="inlineStr">
        <is>
          <t>Tier 1</t>
        </is>
      </c>
      <c r="I21" s="55" t="inlineStr">
        <is>
          <t>Moderate</t>
        </is>
      </c>
      <c r="J21" s="55" t="inlineStr">
        <is>
          <t>Y</t>
        </is>
      </c>
      <c r="K21" s="55" t="inlineStr">
        <is>
          <t>Y</t>
        </is>
      </c>
      <c r="L21" s="55" t="inlineStr">
        <is>
          <t>Y</t>
        </is>
      </c>
      <c r="M21" s="55" t="inlineStr">
        <is>
          <t>Dedicated embedding service.</t>
        </is>
      </c>
      <c r="N21" s="55" t="inlineStr">
        <is>
          <t>https://journals.plos.org/digitalhealth/article?id=10.1371/journal.pdig.0000877</t>
        </is>
      </c>
      <c r="O21" s="55" t="inlineStr">
        <is>
          <t>https://doi.org/10.1002/ohn.864</t>
        </is>
      </c>
    </row>
    <row r="22">
      <c r="A22" s="55" t="inlineStr">
        <is>
          <t>A35</t>
        </is>
      </c>
      <c r="B22" s="55" t="inlineStr">
        <is>
          <t>Luo</t>
        </is>
      </c>
      <c r="C22" s="55" t="inlineStr">
        <is>
          <t>Amugongo</t>
        </is>
      </c>
      <c r="D22" s="55" t="inlineStr">
        <is>
          <t>35</t>
        </is>
      </c>
      <c r="E22" s="55" t="inlineStr">
        <is>
          <t>SBERT</t>
        </is>
      </c>
      <c r="F22" s="55" t="inlineStr">
        <is>
          <t>Tier 1</t>
        </is>
      </c>
      <c r="G22" s="55" t="inlineStr">
        <is>
          <t>Tier 1</t>
        </is>
      </c>
      <c r="H22" s="55" t="inlineStr">
        <is>
          <t>Tier 1</t>
        </is>
      </c>
      <c r="I22" s="55" t="inlineStr">
        <is>
          <t>Moderate</t>
        </is>
      </c>
      <c r="J22" s="55" t="inlineStr">
        <is>
          <t>Y</t>
        </is>
      </c>
      <c r="K22" s="55" t="inlineStr">
        <is>
          <t>Y</t>
        </is>
      </c>
      <c r="L22" s="55" t="inlineStr">
        <is>
          <t>Y</t>
        </is>
      </c>
      <c r="M22" s="55" t="inlineStr">
        <is>
          <t>Sentence-BERT is explicitly trained for sentence similarity.</t>
        </is>
      </c>
      <c r="N22" s="55" t="inlineStr">
        <is>
          <t>https://journals.plos.org/digitalhealth/article?id=10.1371/journal.pdig.0000877</t>
        </is>
      </c>
      <c r="O22" s="55" t="str"/>
    </row>
    <row r="23">
      <c r="A23" s="55" t="inlineStr">
        <is>
          <t>A39</t>
        </is>
      </c>
      <c r="B23" s="55" t="inlineStr">
        <is>
          <t>Murugan</t>
        </is>
      </c>
      <c r="C23" s="55" t="inlineStr">
        <is>
          <t>Amugongo</t>
        </is>
      </c>
      <c r="D23" s="55" t="inlineStr">
        <is>
          <t>39</t>
        </is>
      </c>
      <c r="E23" s="55" t="inlineStr">
        <is>
          <t>OpenAI text-embedding-ada-002</t>
        </is>
      </c>
      <c r="F23" s="55" t="inlineStr">
        <is>
          <t>Tier 1</t>
        </is>
      </c>
      <c r="G23" s="55" t="inlineStr">
        <is>
          <t>Tier 1</t>
        </is>
      </c>
      <c r="H23" s="55" t="inlineStr">
        <is>
          <t>Tier 1</t>
        </is>
      </c>
      <c r="I23" s="55" t="inlineStr">
        <is>
          <t>Moderate</t>
        </is>
      </c>
      <c r="J23" s="55" t="inlineStr">
        <is>
          <t>Y</t>
        </is>
      </c>
      <c r="K23" s="55" t="inlineStr">
        <is>
          <t>Y</t>
        </is>
      </c>
      <c r="L23" s="55" t="inlineStr">
        <is>
          <t>Y</t>
        </is>
      </c>
      <c r="M23" s="55" t="inlineStr">
        <is>
          <t>Dedicated embedding service.</t>
        </is>
      </c>
      <c r="N23" s="55" t="inlineStr">
        <is>
          <t>https://journals.plos.org/digitalhealth/article?id=10.1371/journal.pdig.0000877</t>
        </is>
      </c>
      <c r="O23" s="55" t="str"/>
    </row>
    <row r="24">
      <c r="A24" s="55" t="inlineStr">
        <is>
          <t>A40</t>
        </is>
      </c>
      <c r="B24" s="55" t="inlineStr">
        <is>
          <t>Neupane</t>
        </is>
      </c>
      <c r="C24" s="55" t="inlineStr">
        <is>
          <t>Amugongo</t>
        </is>
      </c>
      <c r="D24" s="55" t="inlineStr">
        <is>
          <t>40</t>
        </is>
      </c>
      <c r="E24" s="55" t="inlineStr">
        <is>
          <t>OpenAI text-embedding-ada-002</t>
        </is>
      </c>
      <c r="F24" s="55" t="inlineStr">
        <is>
          <t>Tier 1</t>
        </is>
      </c>
      <c r="G24" s="55" t="inlineStr">
        <is>
          <t>Tier 1</t>
        </is>
      </c>
      <c r="H24" s="55" t="inlineStr">
        <is>
          <t>Tier 1</t>
        </is>
      </c>
      <c r="I24" s="55" t="inlineStr">
        <is>
          <t>Moderate</t>
        </is>
      </c>
      <c r="J24" s="55" t="inlineStr">
        <is>
          <t>Y</t>
        </is>
      </c>
      <c r="K24" s="55" t="inlineStr">
        <is>
          <t>Y</t>
        </is>
      </c>
      <c r="L24" s="55" t="inlineStr">
        <is>
          <t>Y</t>
        </is>
      </c>
      <c r="M24" s="55" t="inlineStr">
        <is>
          <t>Dedicated embedding service.</t>
        </is>
      </c>
      <c r="N24" s="55" t="inlineStr">
        <is>
          <t>https://journals.plos.org/digitalhealth/article?id=10.1371/journal.pdig.0000877</t>
        </is>
      </c>
      <c r="O24" s="55" t="str"/>
    </row>
    <row r="25">
      <c r="A25" s="55" t="inlineStr">
        <is>
          <t>A41</t>
        </is>
      </c>
      <c r="B25" s="55" t="inlineStr">
        <is>
          <t>Ong [88]</t>
        </is>
      </c>
      <c r="C25" s="55" t="inlineStr">
        <is>
          <t>Amugongo</t>
        </is>
      </c>
      <c r="D25" s="55" t="inlineStr">
        <is>
          <t>41</t>
        </is>
      </c>
      <c r="E25" s="55" t="inlineStr">
        <is>
          <t>OpenAI text-embedding-ada-002 + bge-small-en-v1.5</t>
        </is>
      </c>
      <c r="F25" s="55" t="inlineStr">
        <is>
          <t>Tier 1</t>
        </is>
      </c>
      <c r="G25" s="55" t="inlineStr">
        <is>
          <t>Tier 1</t>
        </is>
      </c>
      <c r="H25" s="55" t="inlineStr">
        <is>
          <t>Tier 1</t>
        </is>
      </c>
      <c r="I25" s="55" t="inlineStr">
        <is>
          <t>Moderate</t>
        </is>
      </c>
      <c r="J25" s="55" t="inlineStr">
        <is>
          <t>Y</t>
        </is>
      </c>
      <c r="K25" s="55" t="inlineStr">
        <is>
          <t>Y</t>
        </is>
      </c>
      <c r="L25" s="55" t="inlineStr">
        <is>
          <t>Y</t>
        </is>
      </c>
      <c r="M25" s="55" t="inlineStr">
        <is>
          <t>Both dense components are dedicated retrieval embeddings.</t>
        </is>
      </c>
      <c r="N25" s="55" t="inlineStr">
        <is>
          <t>https://journals.plos.org/digitalhealth/article?id=10.1371/journal.pdig.0000877</t>
        </is>
      </c>
      <c r="O25" s="55" t="str"/>
    </row>
    <row r="26">
      <c r="A26" s="55" t="inlineStr">
        <is>
          <t>A42</t>
        </is>
      </c>
      <c r="B26" s="55" t="inlineStr">
        <is>
          <t>Painter</t>
        </is>
      </c>
      <c r="C26" s="55" t="inlineStr">
        <is>
          <t>Amugongo</t>
        </is>
      </c>
      <c r="D26" s="55" t="inlineStr">
        <is>
          <t>42</t>
        </is>
      </c>
      <c r="E26" s="55" t="inlineStr">
        <is>
          <t>OpenAI text-embedding-ada-002</t>
        </is>
      </c>
      <c r="F26" s="55" t="inlineStr">
        <is>
          <t>Tier 1</t>
        </is>
      </c>
      <c r="G26" s="55" t="inlineStr">
        <is>
          <t>Tier 1</t>
        </is>
      </c>
      <c r="H26" s="55" t="inlineStr">
        <is>
          <t>Tier 1</t>
        </is>
      </c>
      <c r="I26" s="55" t="inlineStr">
        <is>
          <t>Moderate</t>
        </is>
      </c>
      <c r="J26" s="55" t="inlineStr">
        <is>
          <t>Y</t>
        </is>
      </c>
      <c r="K26" s="55" t="inlineStr">
        <is>
          <t>Y</t>
        </is>
      </c>
      <c r="L26" s="55" t="inlineStr">
        <is>
          <t>Y</t>
        </is>
      </c>
      <c r="M26" s="55" t="inlineStr">
        <is>
          <t>Dedicated embedding service.</t>
        </is>
      </c>
      <c r="N26" s="55" t="inlineStr">
        <is>
          <t>https://journals.plos.org/digitalhealth/article?id=10.1371/journal.pdig.0000877</t>
        </is>
      </c>
      <c r="O26" s="55" t="str"/>
    </row>
    <row r="27">
      <c r="A27" s="55" t="inlineStr">
        <is>
          <t>A43</t>
        </is>
      </c>
      <c r="B27" s="55" t="inlineStr">
        <is>
          <t>Pang</t>
        </is>
      </c>
      <c r="C27" s="55" t="inlineStr">
        <is>
          <t>Amugongo</t>
        </is>
      </c>
      <c r="D27" s="55" t="inlineStr">
        <is>
          <t>43</t>
        </is>
      </c>
      <c r="E27" s="55" t="inlineStr">
        <is>
          <t>Fine-tuned embedding model</t>
        </is>
      </c>
      <c r="F27" s="55" t="inlineStr">
        <is>
          <t>Tier 1</t>
        </is>
      </c>
      <c r="G27" s="55" t="inlineStr">
        <is>
          <t>Tier 1</t>
        </is>
      </c>
      <c r="H27" s="55" t="inlineStr">
        <is>
          <t>Tier 1</t>
        </is>
      </c>
      <c r="I27" s="55" t="inlineStr">
        <is>
          <t>Moderate</t>
        </is>
      </c>
      <c r="J27" s="55" t="inlineStr">
        <is>
          <t>Y</t>
        </is>
      </c>
      <c r="K27" s="55" t="inlineStr">
        <is>
          <t>Y</t>
        </is>
      </c>
      <c r="L27" s="55" t="inlineStr">
        <is>
          <t>Y</t>
        </is>
      </c>
      <c r="M27" s="55" t="inlineStr">
        <is>
          <t>Operational embedding was explicitly fine-tuned for the task.</t>
        </is>
      </c>
      <c r="N27" s="55" t="inlineStr">
        <is>
          <t>https://journals.plos.org/digitalhealth/article?id=10.1371/journal.pdig.0000877</t>
        </is>
      </c>
      <c r="O27" s="55" t="str"/>
    </row>
    <row r="28">
      <c r="A28" s="55" t="inlineStr">
        <is>
          <t>A44</t>
        </is>
      </c>
      <c r="B28" s="55" t="inlineStr">
        <is>
          <t>Parmanto</t>
        </is>
      </c>
      <c r="C28" s="55" t="inlineStr">
        <is>
          <t>Amugongo</t>
        </is>
      </c>
      <c r="D28" s="55" t="inlineStr">
        <is>
          <t>44</t>
        </is>
      </c>
      <c r="E28" s="55" t="inlineStr">
        <is>
          <t>BGE</t>
        </is>
      </c>
      <c r="F28" s="55" t="inlineStr">
        <is>
          <t>Tier 1</t>
        </is>
      </c>
      <c r="G28" s="55" t="inlineStr">
        <is>
          <t>Tier 1</t>
        </is>
      </c>
      <c r="H28" s="55" t="inlineStr">
        <is>
          <t>Tier 1</t>
        </is>
      </c>
      <c r="I28" s="55" t="inlineStr">
        <is>
          <t>Moderate</t>
        </is>
      </c>
      <c r="J28" s="55" t="inlineStr">
        <is>
          <t>Y</t>
        </is>
      </c>
      <c r="K28" s="55" t="inlineStr">
        <is>
          <t>Y</t>
        </is>
      </c>
      <c r="L28" s="55" t="inlineStr">
        <is>
          <t>Y</t>
        </is>
      </c>
      <c r="M28" s="55" t="inlineStr">
        <is>
          <t>Retrieval-trained embedding model.</t>
        </is>
      </c>
      <c r="N28" s="55" t="inlineStr">
        <is>
          <t>https://journals.plos.org/digitalhealth/article?id=10.1371/journal.pdig.0000877</t>
        </is>
      </c>
      <c r="O28" s="55" t="str"/>
    </row>
    <row r="29">
      <c r="A29" s="55" t="inlineStr">
        <is>
          <t>A45</t>
        </is>
      </c>
      <c r="B29" s="55" t="inlineStr">
        <is>
          <t>Quidwai</t>
        </is>
      </c>
      <c r="C29" s="55" t="inlineStr">
        <is>
          <t>Amugongo</t>
        </is>
      </c>
      <c r="D29" s="55" t="inlineStr">
        <is>
          <t>45</t>
        </is>
      </c>
      <c r="E29" s="55" t="inlineStr">
        <is>
          <t>bge-small-en-v1.5</t>
        </is>
      </c>
      <c r="F29" s="55" t="inlineStr">
        <is>
          <t>Tier 1</t>
        </is>
      </c>
      <c r="G29" s="55" t="inlineStr">
        <is>
          <t>Tier 1</t>
        </is>
      </c>
      <c r="H29" s="55" t="inlineStr">
        <is>
          <t>Tier 1</t>
        </is>
      </c>
      <c r="I29" s="55" t="inlineStr">
        <is>
          <t>Moderate</t>
        </is>
      </c>
      <c r="J29" s="55" t="inlineStr">
        <is>
          <t>Y</t>
        </is>
      </c>
      <c r="K29" s="55" t="inlineStr">
        <is>
          <t>Y</t>
        </is>
      </c>
      <c r="L29" s="55" t="inlineStr">
        <is>
          <t>Y</t>
        </is>
      </c>
      <c r="M29" s="55" t="inlineStr">
        <is>
          <t>Retrieval-trained embedding checkpoint.</t>
        </is>
      </c>
      <c r="N29" s="55" t="inlineStr">
        <is>
          <t>https://journals.plos.org/digitalhealth/article?id=10.1371/journal.pdig.0000877</t>
        </is>
      </c>
      <c r="O29" s="55" t="str"/>
    </row>
    <row r="30">
      <c r="A30" s="55" t="inlineStr">
        <is>
          <t>A46</t>
        </is>
      </c>
      <c r="B30" s="55" t="inlineStr">
        <is>
          <t>Ranjit</t>
        </is>
      </c>
      <c r="C30" s="55" t="inlineStr">
        <is>
          <t>Amugongo</t>
        </is>
      </c>
      <c r="D30" s="55" t="inlineStr">
        <is>
          <t>46</t>
        </is>
      </c>
      <c r="E30" s="55" t="inlineStr">
        <is>
          <t>ALBEF</t>
        </is>
      </c>
      <c r="F30" s="55" t="inlineStr">
        <is>
          <t>Tier 1</t>
        </is>
      </c>
      <c r="G30" s="55" t="inlineStr">
        <is>
          <t>Tier 1</t>
        </is>
      </c>
      <c r="H30" s="55" t="inlineStr">
        <is>
          <t>Tier 1</t>
        </is>
      </c>
      <c r="I30" s="55" t="inlineStr">
        <is>
          <t>Moderate</t>
        </is>
      </c>
      <c r="J30" s="55" t="inlineStr">
        <is>
          <t>Y</t>
        </is>
      </c>
      <c r="K30" s="55" t="inlineStr">
        <is>
          <t>Y</t>
        </is>
      </c>
      <c r="L30" s="55" t="inlineStr">
        <is>
          <t>Y</t>
        </is>
      </c>
      <c r="M30" s="55" t="inlineStr">
        <is>
          <t>Contrastively trained multimodal retrieval model.</t>
        </is>
      </c>
      <c r="N30" s="55" t="inlineStr">
        <is>
          <t>https://journals.plos.org/digitalhealth/article?id=10.1371/journal.pdig.0000877</t>
        </is>
      </c>
      <c r="O30" s="55" t="str"/>
    </row>
    <row r="31">
      <c r="A31" s="55" t="inlineStr">
        <is>
          <t>A47</t>
        </is>
      </c>
      <c r="B31" s="55" t="inlineStr">
        <is>
          <t>Rau</t>
        </is>
      </c>
      <c r="C31" s="55" t="inlineStr">
        <is>
          <t>Amugongo</t>
        </is>
      </c>
      <c r="D31" s="55" t="inlineStr">
        <is>
          <t>47</t>
        </is>
      </c>
      <c r="E31" s="55" t="inlineStr">
        <is>
          <t>OpenAI text-embedding-ada-002</t>
        </is>
      </c>
      <c r="F31" s="55" t="inlineStr">
        <is>
          <t>Tier 1</t>
        </is>
      </c>
      <c r="G31" s="55" t="inlineStr">
        <is>
          <t>Tier 1</t>
        </is>
      </c>
      <c r="H31" s="55" t="inlineStr">
        <is>
          <t>Tier 1</t>
        </is>
      </c>
      <c r="I31" s="55" t="inlineStr">
        <is>
          <t>Moderate</t>
        </is>
      </c>
      <c r="J31" s="55" t="inlineStr">
        <is>
          <t>Y</t>
        </is>
      </c>
      <c r="K31" s="55" t="inlineStr">
        <is>
          <t>Y</t>
        </is>
      </c>
      <c r="L31" s="55" t="inlineStr">
        <is>
          <t>Y</t>
        </is>
      </c>
      <c r="M31" s="55" t="inlineStr">
        <is>
          <t>Dedicated embedding service.</t>
        </is>
      </c>
      <c r="N31" s="55" t="inlineStr">
        <is>
          <t>https://journals.plos.org/digitalhealth/article?id=10.1371/journal.pdig.0000877</t>
        </is>
      </c>
      <c r="O31" s="55" t="str"/>
    </row>
    <row r="32">
      <c r="A32" s="55" t="inlineStr">
        <is>
          <t>A48</t>
        </is>
      </c>
      <c r="B32" s="55" t="inlineStr">
        <is>
          <t>Russe</t>
        </is>
      </c>
      <c r="C32" s="55" t="inlineStr">
        <is>
          <t>Amugongo</t>
        </is>
      </c>
      <c r="D32" s="55" t="inlineStr">
        <is>
          <t>48</t>
        </is>
      </c>
      <c r="E32" s="55" t="inlineStr">
        <is>
          <t>OpenAI text-embedding-ada-002</t>
        </is>
      </c>
      <c r="F32" s="55" t="inlineStr">
        <is>
          <t>Tier 1</t>
        </is>
      </c>
      <c r="G32" s="55" t="inlineStr">
        <is>
          <t>Tier 1</t>
        </is>
      </c>
      <c r="H32" s="55" t="inlineStr">
        <is>
          <t>Tier 1</t>
        </is>
      </c>
      <c r="I32" s="55" t="inlineStr">
        <is>
          <t>Moderate</t>
        </is>
      </c>
      <c r="J32" s="55" t="inlineStr">
        <is>
          <t>Y</t>
        </is>
      </c>
      <c r="K32" s="55" t="inlineStr">
        <is>
          <t>Y</t>
        </is>
      </c>
      <c r="L32" s="55" t="inlineStr">
        <is>
          <t>Y</t>
        </is>
      </c>
      <c r="M32" s="55" t="inlineStr">
        <is>
          <t>Dedicated embedding service.</t>
        </is>
      </c>
      <c r="N32" s="55" t="inlineStr">
        <is>
          <t>https://journals.plos.org/digitalhealth/article?id=10.1371/journal.pdig.0000877</t>
        </is>
      </c>
      <c r="O32" s="55" t="str"/>
    </row>
    <row r="33">
      <c r="A33" s="55" t="inlineStr">
        <is>
          <t>A50</t>
        </is>
      </c>
      <c r="B33" s="55" t="inlineStr">
        <is>
          <t>Shi / Chat-Orthopedist</t>
        </is>
      </c>
      <c r="C33" s="55" t="inlineStr">
        <is>
          <t>Amugongo</t>
        </is>
      </c>
      <c r="D33" s="55" t="inlineStr">
        <is>
          <t>50</t>
        </is>
      </c>
      <c r="E33" s="55" t="inlineStr">
        <is>
          <t>MPNet; primary article cites the original MPNet base-model paper</t>
        </is>
      </c>
      <c r="F33" s="55" t="inlineStr">
        <is>
          <t>Tier 2</t>
        </is>
      </c>
      <c r="G33" s="55" t="inlineStr">
        <is>
          <t>Tier 2</t>
        </is>
      </c>
      <c r="H33" s="55" t="inlineStr">
        <is>
          <t>Tier 2</t>
        </is>
      </c>
      <c r="I33" s="55" t="inlineStr">
        <is>
          <t>High</t>
        </is>
      </c>
      <c r="J33" s="55" t="inlineStr">
        <is>
          <t>Y</t>
        </is>
      </c>
      <c r="K33" s="55" t="inlineStr">
        <is>
          <t>Y</t>
        </is>
      </c>
      <c r="L33" s="55" t="inlineStr">
        <is>
          <t>Y</t>
        </is>
      </c>
      <c r="M33" s="55" t="inlineStr">
        <is>
          <t>Tier 2 on the basis of the representation actually extracted. The primary article reports extraction of the [CLS] representation (Section 3.2, doi:10.1145/3584371.3612956) and identifies MPNet by reference to the original MPNet model (Song et al.) rather than to a retrieval-trained sentence-embedding checkpoint. On the reported implementation the retrieval representation was therefore not shown to have been calibrated by a retrieval-specific objective. Membership follows from the extracted representation, not from the training label.</t>
        </is>
      </c>
      <c r="N33" s="55" t="inlineStr">
        <is>
          <t>https://journals.plos.org/digitalhealth/article?id=10.1371/journal.pdig.0000877</t>
        </is>
      </c>
      <c r="O33" s="55" t="inlineStr">
        <is>
          <t>https://doi.org/10.1145/3584371.3612956</t>
        </is>
      </c>
      <c r="P33" t="inlineStr">
        <is>
          <t>SUPERSEDED RATIONALE: 'No retrieval/similarity-tuned checkpoint is identified. Recoded as ambiguous in sensitivity notes.' This basis is invalid: citing the base-model paper is the standard citation for the contrastively fine-tuned sentence-transformer checkpoint, so the absence of a named similarity-tuned checkpoint does not follow. Tier 2 coding is unchanged; only the basis is corrected.</t>
        </is>
      </c>
    </row>
    <row r="34">
      <c r="A34" s="55" t="inlineStr">
        <is>
          <t>A51</t>
        </is>
      </c>
      <c r="B34" s="55" t="inlineStr">
        <is>
          <t>Soman / KG-RAG</t>
        </is>
      </c>
      <c r="C34" s="55" t="inlineStr">
        <is>
          <t>Amugongo</t>
        </is>
      </c>
      <c r="D34" s="55" t="inlineStr">
        <is>
          <t>51</t>
        </is>
      </c>
      <c r="E34" s="55" t="inlineStr">
        <is>
          <t>PubMedBERT selected for context embeddings</t>
        </is>
      </c>
      <c r="F34" s="55" t="inlineStr">
        <is>
          <t>Tier 2</t>
        </is>
      </c>
      <c r="G34" s="55" t="inlineStr">
        <is>
          <t>Tier 2</t>
        </is>
      </c>
      <c r="H34" s="55" t="inlineStr">
        <is>
          <t>Tier 2</t>
        </is>
      </c>
      <c r="I34" s="55" t="inlineStr">
        <is>
          <t>High</t>
        </is>
      </c>
      <c r="J34" s="55" t="inlineStr">
        <is>
          <t>Y</t>
        </is>
      </c>
      <c r="K34" s="55" t="inlineStr">
        <is>
          <t>Y</t>
        </is>
      </c>
      <c r="L34" s="55" t="inlineStr">
        <is>
          <t>Y</t>
        </is>
      </c>
      <c r="M34" s="55" t="inlineStr">
        <is>
          <t>Primary paper selected base PubMedBERT for semantic context pruning after model comparison.</t>
        </is>
      </c>
      <c r="N34" s="55" t="inlineStr">
        <is>
          <t>https://journals.plos.org/digitalhealth/article?id=10.1371/journal.pdig.0000877</t>
        </is>
      </c>
      <c r="O34" s="55" t="inlineStr">
        <is>
          <t>https://doi.org/10.1093/bioinformatics/btae560</t>
        </is>
      </c>
    </row>
    <row r="35">
      <c r="A35" s="55" t="inlineStr">
        <is>
          <t>A52</t>
        </is>
      </c>
      <c r="B35" s="55" t="inlineStr">
        <is>
          <t>So</t>
        </is>
      </c>
      <c r="C35" s="55" t="inlineStr">
        <is>
          <t>Amugongo</t>
        </is>
      </c>
      <c r="D35" s="55" t="inlineStr">
        <is>
          <t>52</t>
        </is>
      </c>
      <c r="E35" s="55" t="inlineStr">
        <is>
          <t>OpenAI text-embedding-ada-002</t>
        </is>
      </c>
      <c r="F35" s="55" t="inlineStr">
        <is>
          <t>Tier 1</t>
        </is>
      </c>
      <c r="G35" s="55" t="inlineStr">
        <is>
          <t>Tier 1</t>
        </is>
      </c>
      <c r="H35" s="55" t="inlineStr">
        <is>
          <t>Tier 1</t>
        </is>
      </c>
      <c r="I35" s="55" t="inlineStr">
        <is>
          <t>Moderate</t>
        </is>
      </c>
      <c r="J35" s="55" t="inlineStr">
        <is>
          <t>Y</t>
        </is>
      </c>
      <c r="K35" s="55" t="inlineStr">
        <is>
          <t>Y</t>
        </is>
      </c>
      <c r="L35" s="55" t="inlineStr">
        <is>
          <t>Y</t>
        </is>
      </c>
      <c r="M35" s="55" t="inlineStr">
        <is>
          <t>Dedicated embedding service.</t>
        </is>
      </c>
      <c r="N35" s="55" t="inlineStr">
        <is>
          <t>https://journals.plos.org/digitalhealth/article?id=10.1371/journal.pdig.0000877</t>
        </is>
      </c>
      <c r="O35" s="55" t="str"/>
    </row>
    <row r="36">
      <c r="A36" s="55" t="inlineStr">
        <is>
          <t>A53</t>
        </is>
      </c>
      <c r="B36" s="55" t="inlineStr">
        <is>
          <t>Soong</t>
        </is>
      </c>
      <c r="C36" s="55" t="inlineStr">
        <is>
          <t>Amugongo</t>
        </is>
      </c>
      <c r="D36" s="55" t="inlineStr">
        <is>
          <t>53</t>
        </is>
      </c>
      <c r="E36" s="55" t="inlineStr">
        <is>
          <t>OpenAI text-embedding-ada-002</t>
        </is>
      </c>
      <c r="F36" s="55" t="inlineStr">
        <is>
          <t>Tier 1</t>
        </is>
      </c>
      <c r="G36" s="55" t="inlineStr">
        <is>
          <t>Tier 1</t>
        </is>
      </c>
      <c r="H36" s="55" t="inlineStr">
        <is>
          <t>Tier 1</t>
        </is>
      </c>
      <c r="I36" s="55" t="inlineStr">
        <is>
          <t>Moderate</t>
        </is>
      </c>
      <c r="J36" s="55" t="inlineStr">
        <is>
          <t>Y</t>
        </is>
      </c>
      <c r="K36" s="55" t="inlineStr">
        <is>
          <t>Y</t>
        </is>
      </c>
      <c r="L36" s="55" t="inlineStr">
        <is>
          <t>Y</t>
        </is>
      </c>
      <c r="M36" s="55" t="inlineStr">
        <is>
          <t>Dedicated embedding service.</t>
        </is>
      </c>
      <c r="N36" s="55" t="inlineStr">
        <is>
          <t>https://journals.plos.org/digitalhealth/article?id=10.1371/journal.pdig.0000877</t>
        </is>
      </c>
      <c r="O36" s="55" t="inlineStr">
        <is>
          <t>https://arxiv.org/abs/2305.17116</t>
        </is>
      </c>
    </row>
    <row r="37">
      <c r="A37" s="55" t="inlineStr">
        <is>
          <t>A54</t>
        </is>
      </c>
      <c r="B37" s="55" t="inlineStr">
        <is>
          <t>Steybe / GuideGPT</t>
        </is>
      </c>
      <c r="C37" s="55" t="inlineStr">
        <is>
          <t>Amugongo</t>
        </is>
      </c>
      <c r="D37" s="55" t="inlineStr">
        <is>
          <t>54</t>
        </is>
      </c>
      <c r="E37" s="55" t="inlineStr">
        <is>
          <t>OpenAI text-embedding-ada-002</t>
        </is>
      </c>
      <c r="F37" s="55" t="inlineStr">
        <is>
          <t>Tier 1</t>
        </is>
      </c>
      <c r="G37" s="55" t="inlineStr">
        <is>
          <t>Tier 1</t>
        </is>
      </c>
      <c r="H37" s="55" t="inlineStr">
        <is>
          <t>Tier 1</t>
        </is>
      </c>
      <c r="I37" s="55" t="inlineStr">
        <is>
          <t>Moderate</t>
        </is>
      </c>
      <c r="J37" s="55" t="inlineStr">
        <is>
          <t>Y</t>
        </is>
      </c>
      <c r="K37" s="55" t="inlineStr">
        <is>
          <t>Y</t>
        </is>
      </c>
      <c r="L37" s="55" t="inlineStr">
        <is>
          <t>Y</t>
        </is>
      </c>
      <c r="M37" s="55" t="inlineStr">
        <is>
          <t>Dedicated embedding service.</t>
        </is>
      </c>
      <c r="N37" s="55" t="inlineStr">
        <is>
          <t>https://journals.plos.org/digitalhealth/article?id=10.1371/journal.pdig.0000877</t>
        </is>
      </c>
      <c r="O37" s="55" t="inlineStr">
        <is>
          <t>https://doi.org/10.1016/j.jcms.2024.12.009</t>
        </is>
      </c>
    </row>
    <row r="38">
      <c r="A38" s="55" t="inlineStr">
        <is>
          <t>A56</t>
        </is>
      </c>
      <c r="B38" s="55" t="inlineStr">
        <is>
          <t>Unlu / RECTIFIER</t>
        </is>
      </c>
      <c r="C38" s="55" t="inlineStr">
        <is>
          <t>Amugongo</t>
        </is>
      </c>
      <c r="D38" s="55" t="inlineStr">
        <is>
          <t>56</t>
        </is>
      </c>
      <c r="E38" s="55" t="inlineStr">
        <is>
          <t>OpenAI text-embedding-ada-002</t>
        </is>
      </c>
      <c r="F38" s="55" t="inlineStr">
        <is>
          <t>Tier 1</t>
        </is>
      </c>
      <c r="G38" s="55" t="inlineStr">
        <is>
          <t>Tier 1</t>
        </is>
      </c>
      <c r="H38" s="55" t="inlineStr">
        <is>
          <t>Tier 1</t>
        </is>
      </c>
      <c r="I38" s="55" t="inlineStr">
        <is>
          <t>Moderate</t>
        </is>
      </c>
      <c r="J38" s="55" t="inlineStr">
        <is>
          <t>Y</t>
        </is>
      </c>
      <c r="K38" s="55" t="inlineStr">
        <is>
          <t>Y</t>
        </is>
      </c>
      <c r="L38" s="55" t="inlineStr">
        <is>
          <t>Y</t>
        </is>
      </c>
      <c r="M38" s="55" t="inlineStr">
        <is>
          <t>Dedicated embedding service.</t>
        </is>
      </c>
      <c r="N38" s="55" t="inlineStr">
        <is>
          <t>https://journals.plos.org/digitalhealth/article?id=10.1371/journal.pdig.0000877</t>
        </is>
      </c>
      <c r="O38" s="55" t="inlineStr">
        <is>
          <t>https://doi.org/10.1101/2024.02.08.24302376</t>
        </is>
      </c>
    </row>
    <row r="39">
      <c r="A39" s="55" t="inlineStr">
        <is>
          <t>A59</t>
        </is>
      </c>
      <c r="B39" s="55" t="inlineStr">
        <is>
          <t>Wang [106]</t>
        </is>
      </c>
      <c r="C39" s="55" t="inlineStr">
        <is>
          <t>Amugongo</t>
        </is>
      </c>
      <c r="D39" s="55" t="inlineStr">
        <is>
          <t>59</t>
        </is>
      </c>
      <c r="E39" s="55" t="inlineStr">
        <is>
          <t>ColBERT</t>
        </is>
      </c>
      <c r="F39" s="55" t="inlineStr">
        <is>
          <t>Tier 1</t>
        </is>
      </c>
      <c r="G39" s="55" t="inlineStr">
        <is>
          <t>Tier 1</t>
        </is>
      </c>
      <c r="H39" s="55" t="inlineStr">
        <is>
          <t>Tier 1</t>
        </is>
      </c>
      <c r="I39" s="55" t="inlineStr">
        <is>
          <t>Moderate</t>
        </is>
      </c>
      <c r="J39" s="55" t="inlineStr">
        <is>
          <t>Y</t>
        </is>
      </c>
      <c r="K39" s="55" t="inlineStr">
        <is>
          <t>Y</t>
        </is>
      </c>
      <c r="L39" s="55" t="inlineStr">
        <is>
          <t>Y</t>
        </is>
      </c>
      <c r="M39" s="55" t="inlineStr">
        <is>
          <t>ColBERT is explicitly trained for information retrieval.</t>
        </is>
      </c>
      <c r="N39" s="55" t="inlineStr">
        <is>
          <t>https://journals.plos.org/digitalhealth/article?id=10.1371/journal.pdig.0000877</t>
        </is>
      </c>
      <c r="O39" s="55" t="str"/>
    </row>
    <row r="40">
      <c r="A40" s="55" t="inlineStr">
        <is>
          <t>A60</t>
        </is>
      </c>
      <c r="B40" s="55" t="inlineStr">
        <is>
          <t>Wang [107] / RISE</t>
        </is>
      </c>
      <c r="C40" s="55" t="inlineStr">
        <is>
          <t>Amugongo</t>
        </is>
      </c>
      <c r="D40" s="55" t="inlineStr">
        <is>
          <t>60</t>
        </is>
      </c>
      <c r="E40" s="55" t="inlineStr">
        <is>
          <t>OpenAI text-embedding-ada-002</t>
        </is>
      </c>
      <c r="F40" s="55" t="inlineStr">
        <is>
          <t>Tier 1</t>
        </is>
      </c>
      <c r="G40" s="55" t="inlineStr">
        <is>
          <t>Tier 1</t>
        </is>
      </c>
      <c r="H40" s="55" t="inlineStr">
        <is>
          <t>Tier 1</t>
        </is>
      </c>
      <c r="I40" s="55" t="inlineStr">
        <is>
          <t>Moderate</t>
        </is>
      </c>
      <c r="J40" s="55" t="inlineStr">
        <is>
          <t>Y</t>
        </is>
      </c>
      <c r="K40" s="55" t="inlineStr">
        <is>
          <t>Y</t>
        </is>
      </c>
      <c r="L40" s="55" t="inlineStr">
        <is>
          <t>Y</t>
        </is>
      </c>
      <c r="M40" s="55" t="inlineStr">
        <is>
          <t>Dedicated embedding service.</t>
        </is>
      </c>
      <c r="N40" s="55" t="inlineStr">
        <is>
          <t>https://journals.plos.org/digitalhealth/article?id=10.1371/journal.pdig.0000877</t>
        </is>
      </c>
      <c r="O40" s="55" t="inlineStr">
        <is>
          <t>https://doi.org/10.2196/58041</t>
        </is>
      </c>
    </row>
    <row r="41">
      <c r="A41" s="55" t="inlineStr">
        <is>
          <t>A61</t>
        </is>
      </c>
      <c r="B41" s="55" t="inlineStr">
        <is>
          <t>Wornow</t>
        </is>
      </c>
      <c r="C41" s="55" t="inlineStr">
        <is>
          <t>Amugongo</t>
        </is>
      </c>
      <c r="D41" s="55" t="inlineStr">
        <is>
          <t>61</t>
        </is>
      </c>
      <c r="E41" s="55" t="inlineStr">
        <is>
          <t>MiniLM + BGE</t>
        </is>
      </c>
      <c r="F41" s="55" t="inlineStr">
        <is>
          <t>Tier 1</t>
        </is>
      </c>
      <c r="G41" s="55" t="inlineStr">
        <is>
          <t>Tier 1</t>
        </is>
      </c>
      <c r="H41" s="55" t="inlineStr">
        <is>
          <t>Tier 1</t>
        </is>
      </c>
      <c r="I41" s="55" t="inlineStr">
        <is>
          <t>Moderate</t>
        </is>
      </c>
      <c r="J41" s="55" t="inlineStr">
        <is>
          <t>Y</t>
        </is>
      </c>
      <c r="K41" s="55" t="inlineStr">
        <is>
          <t>Y</t>
        </is>
      </c>
      <c r="L41" s="55" t="inlineStr">
        <is>
          <t>Y</t>
        </is>
      </c>
      <c r="M41" s="55" t="inlineStr">
        <is>
          <t>Named dense components are sentence/retrieval embedding models.</t>
        </is>
      </c>
      <c r="N41" s="55" t="inlineStr">
        <is>
          <t>https://journals.plos.org/digitalhealth/article?id=10.1371/journal.pdig.0000877</t>
        </is>
      </c>
      <c r="O41" s="55" t="str"/>
    </row>
    <row r="42">
      <c r="A42" s="55" t="inlineStr">
        <is>
          <t>A63</t>
        </is>
      </c>
      <c r="B42" s="55" t="inlineStr">
        <is>
          <t>Wu</t>
        </is>
      </c>
      <c r="C42" s="55" t="inlineStr">
        <is>
          <t>Amugongo</t>
        </is>
      </c>
      <c r="D42" s="55" t="inlineStr">
        <is>
          <t>63</t>
        </is>
      </c>
      <c r="E42" s="55" t="inlineStr">
        <is>
          <t>OpenAI text-embedding-3-large</t>
        </is>
      </c>
      <c r="F42" s="55" t="inlineStr">
        <is>
          <t>Tier 1</t>
        </is>
      </c>
      <c r="G42" s="55" t="inlineStr">
        <is>
          <t>Tier 1</t>
        </is>
      </c>
      <c r="H42" s="55" t="inlineStr">
        <is>
          <t>Tier 1</t>
        </is>
      </c>
      <c r="I42" s="55" t="inlineStr">
        <is>
          <t>Moderate</t>
        </is>
      </c>
      <c r="J42" s="55" t="inlineStr">
        <is>
          <t>Y</t>
        </is>
      </c>
      <c r="K42" s="55" t="inlineStr">
        <is>
          <t>Y</t>
        </is>
      </c>
      <c r="L42" s="55" t="inlineStr">
        <is>
          <t>Y</t>
        </is>
      </c>
      <c r="M42" s="55" t="inlineStr">
        <is>
          <t>Dedicated embedding service.</t>
        </is>
      </c>
      <c r="N42" s="55" t="inlineStr">
        <is>
          <t>https://journals.plos.org/digitalhealth/article?id=10.1371/journal.pdig.0000877</t>
        </is>
      </c>
      <c r="O42" s="55" t="str"/>
    </row>
    <row r="43">
      <c r="A43" s="55" t="inlineStr">
        <is>
          <t>A64</t>
        </is>
      </c>
      <c r="B43" s="55" t="inlineStr">
        <is>
          <t>Yu, Guo &amp; Sano</t>
        </is>
      </c>
      <c r="C43" s="55" t="inlineStr">
        <is>
          <t>Amugongo</t>
        </is>
      </c>
      <c r="D43" s="55" t="inlineStr">
        <is>
          <t>64</t>
        </is>
      </c>
      <c r="E43" s="55" t="inlineStr">
        <is>
          <t>OpenAI text-embedding-ada-002</t>
        </is>
      </c>
      <c r="F43" s="55" t="inlineStr">
        <is>
          <t>Tier 1</t>
        </is>
      </c>
      <c r="G43" s="55" t="inlineStr">
        <is>
          <t>Tier 1</t>
        </is>
      </c>
      <c r="H43" s="55" t="inlineStr">
        <is>
          <t>Tier 1</t>
        </is>
      </c>
      <c r="I43" s="55" t="inlineStr">
        <is>
          <t>Moderate</t>
        </is>
      </c>
      <c r="J43" s="55" t="inlineStr">
        <is>
          <t>Y</t>
        </is>
      </c>
      <c r="K43" s="55" t="inlineStr">
        <is>
          <t>Y</t>
        </is>
      </c>
      <c r="L43" s="55" t="inlineStr">
        <is>
          <t>Y</t>
        </is>
      </c>
      <c r="M43" s="55" t="inlineStr">
        <is>
          <t>Dedicated embedding service.</t>
        </is>
      </c>
      <c r="N43" s="55" t="inlineStr">
        <is>
          <t>https://journals.plos.org/digitalhealth/article?id=10.1371/journal.pdig.0000877</t>
        </is>
      </c>
      <c r="O43" s="55" t="str"/>
    </row>
    <row r="44">
      <c r="A44" s="55" t="inlineStr">
        <is>
          <t>A65</t>
        </is>
      </c>
      <c r="B44" s="55" t="inlineStr">
        <is>
          <t>Yu</t>
        </is>
      </c>
      <c r="C44" s="55" t="inlineStr">
        <is>
          <t>Amugongo</t>
        </is>
      </c>
      <c r="D44" s="55" t="inlineStr">
        <is>
          <t>65</t>
        </is>
      </c>
      <c r="E44" s="55" t="inlineStr">
        <is>
          <t>MiniLM sentence embedding</t>
        </is>
      </c>
      <c r="F44" s="55" t="inlineStr">
        <is>
          <t>Tier 1</t>
        </is>
      </c>
      <c r="G44" s="55" t="inlineStr">
        <is>
          <t>Tier 1</t>
        </is>
      </c>
      <c r="H44" s="55" t="inlineStr">
        <is>
          <t>Tier 1</t>
        </is>
      </c>
      <c r="I44" s="55" t="inlineStr">
        <is>
          <t>Moderate</t>
        </is>
      </c>
      <c r="J44" s="55" t="inlineStr">
        <is>
          <t>Y</t>
        </is>
      </c>
      <c r="K44" s="55" t="inlineStr">
        <is>
          <t>Y</t>
        </is>
      </c>
      <c r="L44" s="55" t="inlineStr">
        <is>
          <t>Y</t>
        </is>
      </c>
      <c r="M44" s="55" t="inlineStr">
        <is>
          <t>Sentence-transformer family used for semantic retrieval.</t>
        </is>
      </c>
      <c r="N44" s="55" t="inlineStr">
        <is>
          <t>https://journals.plos.org/digitalhealth/article?id=10.1371/journal.pdig.0000877</t>
        </is>
      </c>
      <c r="O44" s="55" t="str"/>
    </row>
    <row r="45">
      <c r="A45" s="55" t="inlineStr">
        <is>
          <t>A66</t>
        </is>
      </c>
      <c r="B45" s="55" t="inlineStr">
        <is>
          <t>Zakka</t>
        </is>
      </c>
      <c r="C45" s="55" t="inlineStr">
        <is>
          <t>Amugongo</t>
        </is>
      </c>
      <c r="D45" s="55" t="inlineStr">
        <is>
          <t>66</t>
        </is>
      </c>
      <c r="E45" s="55" t="inlineStr">
        <is>
          <t>OpenAI text-embedding-ada-002</t>
        </is>
      </c>
      <c r="F45" s="55" t="inlineStr">
        <is>
          <t>Tier 1</t>
        </is>
      </c>
      <c r="G45" s="55" t="inlineStr">
        <is>
          <t>Tier 1</t>
        </is>
      </c>
      <c r="H45" s="55" t="inlineStr">
        <is>
          <t>Tier 1</t>
        </is>
      </c>
      <c r="I45" s="55" t="inlineStr">
        <is>
          <t>Moderate</t>
        </is>
      </c>
      <c r="J45" s="55" t="inlineStr">
        <is>
          <t>Y</t>
        </is>
      </c>
      <c r="K45" s="55" t="inlineStr">
        <is>
          <t>Y</t>
        </is>
      </c>
      <c r="L45" s="55" t="inlineStr">
        <is>
          <t>Y</t>
        </is>
      </c>
      <c r="M45" s="55" t="inlineStr">
        <is>
          <t>Dedicated embedding service.</t>
        </is>
      </c>
      <c r="N45" s="55" t="inlineStr">
        <is>
          <t>https://journals.plos.org/digitalhealth/article?id=10.1371/journal.pdig.0000877</t>
        </is>
      </c>
      <c r="O45" s="55" t="str"/>
    </row>
    <row r="46">
      <c r="A46" s="55" t="inlineStr">
        <is>
          <t>A67</t>
        </is>
      </c>
      <c r="B46" s="55" t="inlineStr">
        <is>
          <t>Ziletti</t>
        </is>
      </c>
      <c r="C46" s="55" t="inlineStr">
        <is>
          <t>Amugongo</t>
        </is>
      </c>
      <c r="D46" s="55" t="inlineStr">
        <is>
          <t>67</t>
        </is>
      </c>
      <c r="E46" s="55" t="inlineStr">
        <is>
          <t>bge-small-en-v1.5</t>
        </is>
      </c>
      <c r="F46" s="55" t="inlineStr">
        <is>
          <t>Tier 1</t>
        </is>
      </c>
      <c r="G46" s="55" t="inlineStr">
        <is>
          <t>Tier 1</t>
        </is>
      </c>
      <c r="H46" s="55" t="inlineStr">
        <is>
          <t>Tier 1</t>
        </is>
      </c>
      <c r="I46" s="55" t="inlineStr">
        <is>
          <t>Moderate</t>
        </is>
      </c>
      <c r="J46" s="55" t="inlineStr">
        <is>
          <t>Y</t>
        </is>
      </c>
      <c r="K46" s="55" t="inlineStr">
        <is>
          <t>Y</t>
        </is>
      </c>
      <c r="L46" s="55" t="inlineStr">
        <is>
          <t>Y</t>
        </is>
      </c>
      <c r="M46" s="55" t="inlineStr">
        <is>
          <t>Retrieval-trained embedding checkpoint.</t>
        </is>
      </c>
      <c r="N46" s="55" t="inlineStr">
        <is>
          <t>https://journals.plos.org/digitalhealth/article?id=10.1371/journal.pdig.0000877</t>
        </is>
      </c>
      <c r="O46" s="55" t="str"/>
    </row>
    <row r="47">
      <c r="A47" s="55" t="inlineStr">
        <is>
          <t>A69</t>
        </is>
      </c>
      <c r="B47" s="55" t="inlineStr">
        <is>
          <t>Zheng / RAGPR</t>
        </is>
      </c>
      <c r="C47" s="55" t="inlineStr">
        <is>
          <t>Amugongo</t>
        </is>
      </c>
      <c r="D47" s="55" t="inlineStr">
        <is>
          <t>69</t>
        </is>
      </c>
      <c r="E47" s="55" t="inlineStr">
        <is>
          <t>FastText + SBERT + OpenAI text-embedding-3-large</t>
        </is>
      </c>
      <c r="F47" s="55" t="inlineStr">
        <is>
          <t>Tier 1</t>
        </is>
      </c>
      <c r="G47" s="55" t="inlineStr">
        <is>
          <t>Tier 1</t>
        </is>
      </c>
      <c r="H47" s="55" t="inlineStr">
        <is>
          <t>Tier 1</t>
        </is>
      </c>
      <c r="I47" s="55" t="inlineStr">
        <is>
          <t>Moderate</t>
        </is>
      </c>
      <c r="J47" s="55" t="inlineStr">
        <is>
          <t>Y</t>
        </is>
      </c>
      <c r="K47" s="55" t="inlineStr">
        <is>
          <t>Y</t>
        </is>
      </c>
      <c r="L47" s="55" t="inlineStr">
        <is>
          <t>Y</t>
        </is>
      </c>
      <c r="M47" s="55" t="inlineStr">
        <is>
          <t>Dense retrieval includes SBERT and a dedicated embedding API.</t>
        </is>
      </c>
      <c r="N47" s="55" t="inlineStr">
        <is>
          <t>https://journals.plos.org/digitalhealth/article?id=10.1371/journal.pdig.0000877</t>
        </is>
      </c>
      <c r="O47" s="55" t="inlineStr">
        <is>
          <t>https://doi.org/10.3389/fpubh.2025.1501408</t>
        </is>
      </c>
    </row>
    <row r="48">
      <c r="A48" s="55" t="inlineStr">
        <is>
          <t>A70</t>
        </is>
      </c>
      <c r="B48" s="55" t="inlineStr">
        <is>
          <t>Zhuo</t>
        </is>
      </c>
      <c r="C48" s="55" t="inlineStr">
        <is>
          <t>Amugongo</t>
        </is>
      </c>
      <c r="D48" s="55" t="inlineStr">
        <is>
          <t>70</t>
        </is>
      </c>
      <c r="E48" s="55" t="inlineStr">
        <is>
          <t>gte-base-zh with embedding fine-tuning</t>
        </is>
      </c>
      <c r="F48" s="55" t="inlineStr">
        <is>
          <t>Tier 1</t>
        </is>
      </c>
      <c r="G48" s="55" t="inlineStr">
        <is>
          <t>Tier 1</t>
        </is>
      </c>
      <c r="H48" s="55" t="inlineStr">
        <is>
          <t>Tier 1</t>
        </is>
      </c>
      <c r="I48" s="55" t="inlineStr">
        <is>
          <t>Moderate</t>
        </is>
      </c>
      <c r="J48" s="55" t="inlineStr">
        <is>
          <t>Y</t>
        </is>
      </c>
      <c r="K48" s="55" t="inlineStr">
        <is>
          <t>Y</t>
        </is>
      </c>
      <c r="L48" s="55" t="inlineStr">
        <is>
          <t>Y</t>
        </is>
      </c>
      <c r="M48" s="55" t="inlineStr">
        <is>
          <t>Retrieval-trained/fine-tuned embedding model.</t>
        </is>
      </c>
      <c r="N48" s="55" t="inlineStr">
        <is>
          <t>https://journals.plos.org/digitalhealth/article?id=10.1371/journal.pdig.0000877</t>
        </is>
      </c>
      <c r="O48" s="55" t="str"/>
    </row>
    <row r="49">
      <c r="A49" s="55" t="inlineStr">
        <is>
          <t>H01</t>
        </is>
      </c>
      <c r="B49" s="55" t="inlineStr">
        <is>
          <t>AskFDALabel</t>
        </is>
      </c>
      <c r="C49" s="55" t="inlineStr">
        <is>
          <t>He</t>
        </is>
      </c>
      <c r="D49" s="55" t="inlineStr">
        <is>
          <t>1</t>
        </is>
      </c>
      <c r="E49" s="55" t="inlineStr">
        <is>
          <t>Sentence Transformer</t>
        </is>
      </c>
      <c r="F49" s="55" t="inlineStr">
        <is>
          <t>Tier 1</t>
        </is>
      </c>
      <c r="G49" s="55" t="inlineStr">
        <is>
          <t>Tier 1</t>
        </is>
      </c>
      <c r="H49" s="55" t="inlineStr">
        <is>
          <t>Tier 1</t>
        </is>
      </c>
      <c r="I49" s="55" t="inlineStr">
        <is>
          <t>Moderate</t>
        </is>
      </c>
      <c r="J49" s="55" t="inlineStr">
        <is>
          <t>Y</t>
        </is>
      </c>
      <c r="K49" s="55" t="inlineStr">
        <is>
          <t>Y</t>
        </is>
      </c>
      <c r="L49" s="55" t="inlineStr">
        <is>
          <t>Y</t>
        </is>
      </c>
      <c r="M49" s="55" t="inlineStr">
        <is>
          <t>Survey identifies Sentence Transformer/SBERT family; exact checkpoint not disclosed.</t>
        </is>
      </c>
      <c r="N49" s="55" t="inlineStr">
        <is>
          <t>https://arxiv.org/abs/2505.01146</t>
        </is>
      </c>
      <c r="O49" s="55" t="inlineStr">
        <is>
          <t>https://doi.org/10.1016/j.yrtph.2024.105613</t>
        </is>
      </c>
    </row>
    <row r="50">
      <c r="A50" s="55" t="inlineStr">
        <is>
          <t>H02</t>
        </is>
      </c>
      <c r="B50" s="55" t="inlineStr">
        <is>
          <t>CaLM</t>
        </is>
      </c>
      <c r="C50" s="55" t="inlineStr">
        <is>
          <t>He</t>
        </is>
      </c>
      <c r="D50" s="55" t="inlineStr">
        <is>
          <t>2</t>
        </is>
      </c>
      <c r="E50" s="55" t="inlineStr">
        <is>
          <t>BGE embedding</t>
        </is>
      </c>
      <c r="F50" s="55" t="inlineStr">
        <is>
          <t>Tier 1</t>
        </is>
      </c>
      <c r="G50" s="55" t="inlineStr">
        <is>
          <t>Tier 1</t>
        </is>
      </c>
      <c r="H50" s="55" t="inlineStr">
        <is>
          <t>Tier 1</t>
        </is>
      </c>
      <c r="I50" s="55" t="inlineStr">
        <is>
          <t>High</t>
        </is>
      </c>
      <c r="J50" s="55" t="inlineStr">
        <is>
          <t>Y</t>
        </is>
      </c>
      <c r="K50" s="55" t="inlineStr">
        <is>
          <t>Y</t>
        </is>
      </c>
      <c r="L50" s="55" t="inlineStr">
        <is>
          <t>Y</t>
        </is>
      </c>
      <c r="M50" s="55" t="inlineStr">
        <is>
          <t>BGE is retrieval/contrastive-trained.</t>
        </is>
      </c>
      <c r="N50" s="55" t="inlineStr">
        <is>
          <t>https://arxiv.org/abs/2505.01146</t>
        </is>
      </c>
      <c r="O50" s="55" t="str"/>
    </row>
    <row r="51">
      <c r="A51" s="55" t="inlineStr">
        <is>
          <t>H06</t>
        </is>
      </c>
      <c r="B51" s="55" t="inlineStr">
        <is>
          <t>RAG-GPT</t>
        </is>
      </c>
      <c r="C51" s="55" t="inlineStr">
        <is>
          <t>He</t>
        </is>
      </c>
      <c r="D51" s="55" t="inlineStr">
        <is>
          <t>6</t>
        </is>
      </c>
      <c r="E51" s="55" t="inlineStr">
        <is>
          <t>BGE embedding</t>
        </is>
      </c>
      <c r="F51" s="55" t="inlineStr">
        <is>
          <t>Tier 1</t>
        </is>
      </c>
      <c r="G51" s="55" t="inlineStr">
        <is>
          <t>Tier 1</t>
        </is>
      </c>
      <c r="H51" s="55" t="inlineStr">
        <is>
          <t>Tier 1</t>
        </is>
      </c>
      <c r="I51" s="55" t="inlineStr">
        <is>
          <t>High</t>
        </is>
      </c>
      <c r="J51" s="55" t="inlineStr">
        <is>
          <t>Y</t>
        </is>
      </c>
      <c r="K51" s="55" t="inlineStr">
        <is>
          <t>Y</t>
        </is>
      </c>
      <c r="L51" s="55" t="inlineStr">
        <is>
          <t>Y</t>
        </is>
      </c>
      <c r="M51" s="55" t="inlineStr">
        <is>
          <t>BGE is retrieval/contrastive-trained.</t>
        </is>
      </c>
      <c r="N51" s="55" t="inlineStr">
        <is>
          <t>https://arxiv.org/abs/2505.01146</t>
        </is>
      </c>
      <c r="O51" s="55" t="inlineStr">
        <is>
          <t>https://doi.org/10.1038/s41598-024-81052-3</t>
        </is>
      </c>
    </row>
    <row r="52">
      <c r="A52" s="55" t="inlineStr">
        <is>
          <t>H11</t>
        </is>
      </c>
      <c r="B52" s="55" t="inlineStr">
        <is>
          <t>DRAGON-AI</t>
        </is>
      </c>
      <c r="C52" s="55" t="inlineStr">
        <is>
          <t>He</t>
        </is>
      </c>
      <c r="D52" s="55" t="inlineStr">
        <is>
          <t>11</t>
        </is>
      </c>
      <c r="E52" s="55" t="inlineStr">
        <is>
          <t>OpenAI text embedding</t>
        </is>
      </c>
      <c r="F52" s="55" t="inlineStr">
        <is>
          <t>Tier 1</t>
        </is>
      </c>
      <c r="G52" s="55" t="inlineStr">
        <is>
          <t>Tier 1</t>
        </is>
      </c>
      <c r="H52" s="55" t="inlineStr">
        <is>
          <t>Tier 1</t>
        </is>
      </c>
      <c r="I52" s="55" t="inlineStr">
        <is>
          <t>High</t>
        </is>
      </c>
      <c r="J52" s="55" t="inlineStr">
        <is>
          <t>Y</t>
        </is>
      </c>
      <c r="K52" s="55" t="inlineStr">
        <is>
          <t>Y</t>
        </is>
      </c>
      <c r="L52" s="55" t="inlineStr">
        <is>
          <t>Y</t>
        </is>
      </c>
      <c r="M52" s="55" t="inlineStr">
        <is>
          <t>Dedicated embedding service.</t>
        </is>
      </c>
      <c r="N52" s="55" t="inlineStr">
        <is>
          <t>https://arxiv.org/abs/2505.01146</t>
        </is>
      </c>
      <c r="O52" s="55" t="inlineStr">
        <is>
          <t>https://doi.org/10.1186/s13326-024-00320-3</t>
        </is>
      </c>
    </row>
    <row r="53">
      <c r="A53" s="55" t="inlineStr">
        <is>
          <t>H15</t>
        </is>
      </c>
      <c r="B53" s="55" t="inlineStr">
        <is>
          <t>Endo-chat</t>
        </is>
      </c>
      <c r="C53" s="55" t="inlineStr">
        <is>
          <t>He</t>
        </is>
      </c>
      <c r="D53" s="55" t="inlineStr">
        <is>
          <t>15</t>
        </is>
      </c>
      <c r="E53" s="55" t="inlineStr">
        <is>
          <t>OpenAI text embedding</t>
        </is>
      </c>
      <c r="F53" s="55" t="inlineStr">
        <is>
          <t>Tier 1</t>
        </is>
      </c>
      <c r="G53" s="55" t="inlineStr">
        <is>
          <t>Tier 1</t>
        </is>
      </c>
      <c r="H53" s="55" t="inlineStr">
        <is>
          <t>Tier 1</t>
        </is>
      </c>
      <c r="I53" s="55" t="inlineStr">
        <is>
          <t>High</t>
        </is>
      </c>
      <c r="J53" s="55" t="inlineStr">
        <is>
          <t>Y</t>
        </is>
      </c>
      <c r="K53" s="55" t="inlineStr">
        <is>
          <t>Y</t>
        </is>
      </c>
      <c r="L53" s="55" t="inlineStr">
        <is>
          <t>Y</t>
        </is>
      </c>
      <c r="M53" s="55" t="inlineStr">
        <is>
          <t>Dedicated embedding service.</t>
        </is>
      </c>
      <c r="N53" s="55" t="inlineStr">
        <is>
          <t>https://arxiv.org/abs/2505.01146</t>
        </is>
      </c>
      <c r="O53" s="55" t="inlineStr">
        <is>
          <t>https://doi.org/10.3389/fmed.2024.1500258</t>
        </is>
      </c>
    </row>
    <row r="54">
      <c r="A54" s="55" t="inlineStr">
        <is>
          <t>H20</t>
        </is>
      </c>
      <c r="B54" s="55" t="inlineStr">
        <is>
          <t>InfectA-Chat</t>
        </is>
      </c>
      <c r="C54" s="55" t="inlineStr">
        <is>
          <t>He</t>
        </is>
      </c>
      <c r="D54" s="55" t="inlineStr">
        <is>
          <t>20</t>
        </is>
      </c>
      <c r="E54" s="55" t="inlineStr">
        <is>
          <t>OpenAI text embedding</t>
        </is>
      </c>
      <c r="F54" s="55" t="inlineStr">
        <is>
          <t>Tier 1</t>
        </is>
      </c>
      <c r="G54" s="55" t="inlineStr">
        <is>
          <t>Tier 1</t>
        </is>
      </c>
      <c r="H54" s="55" t="inlineStr">
        <is>
          <t>Tier 1</t>
        </is>
      </c>
      <c r="I54" s="55" t="inlineStr">
        <is>
          <t>High</t>
        </is>
      </c>
      <c r="J54" s="55" t="inlineStr">
        <is>
          <t>Y</t>
        </is>
      </c>
      <c r="K54" s="55" t="inlineStr">
        <is>
          <t>Y</t>
        </is>
      </c>
      <c r="L54" s="55" t="inlineStr">
        <is>
          <t>Y</t>
        </is>
      </c>
      <c r="M54" s="55" t="inlineStr">
        <is>
          <t>Dedicated embedding service.</t>
        </is>
      </c>
      <c r="N54" s="55" t="inlineStr">
        <is>
          <t>https://arxiv.org/abs/2505.01146</t>
        </is>
      </c>
      <c r="O54" s="55" t="inlineStr">
        <is>
          <t>https://doi.org/10.2196/63881</t>
        </is>
      </c>
    </row>
    <row r="55">
      <c r="A55" s="55" t="inlineStr">
        <is>
          <t>H27</t>
        </is>
      </c>
      <c r="B55" s="55" t="inlineStr">
        <is>
          <t>BiomedRAG</t>
        </is>
      </c>
      <c r="C55" s="55" t="inlineStr">
        <is>
          <t>He</t>
        </is>
      </c>
      <c r="D55" s="55" t="inlineStr">
        <is>
          <t>27</t>
        </is>
      </c>
      <c r="E55" s="55" t="inlineStr">
        <is>
          <t>Tailored learned chunk scorer supervised by LLM</t>
        </is>
      </c>
      <c r="F55" s="55" t="inlineStr">
        <is>
          <t>Tier 1</t>
        </is>
      </c>
      <c r="G55" s="55" t="inlineStr">
        <is>
          <t>Tier 1</t>
        </is>
      </c>
      <c r="H55" s="55" t="inlineStr">
        <is>
          <t>Tier 1</t>
        </is>
      </c>
      <c r="I55" s="55" t="inlineStr">
        <is>
          <t>High</t>
        </is>
      </c>
      <c r="J55" s="55" t="inlineStr">
        <is>
          <t>Y</t>
        </is>
      </c>
      <c r="K55" s="55" t="inlineStr">
        <is>
          <t>Y</t>
        </is>
      </c>
      <c r="L55" s="55" t="inlineStr">
        <is>
          <t>Y</t>
        </is>
      </c>
      <c r="M55" s="55" t="inlineStr">
        <is>
          <t>Primary paper trains an explicit retrieval scorer; survey label MedLLaMA refers to the broader architecture.</t>
        </is>
      </c>
      <c r="N55" s="55" t="inlineStr">
        <is>
          <t>https://arxiv.org/abs/2505.01146</t>
        </is>
      </c>
      <c r="O55" s="55" t="inlineStr">
        <is>
          <t>https://arxiv.org/abs/2405.00465</t>
        </is>
      </c>
    </row>
    <row r="56">
      <c r="A56" s="55" t="inlineStr">
        <is>
          <t>H33</t>
        </is>
      </c>
      <c r="B56" s="55" t="inlineStr">
        <is>
          <t>RAMIE</t>
        </is>
      </c>
      <c r="C56" s="55" t="inlineStr">
        <is>
          <t>He</t>
        </is>
      </c>
      <c r="D56" s="55" t="inlineStr">
        <is>
          <t>33</t>
        </is>
      </c>
      <c r="E56" s="55" t="inlineStr">
        <is>
          <t>MedCPT + Contriever + BMRetriever</t>
        </is>
      </c>
      <c r="F56" s="55" t="inlineStr">
        <is>
          <t>Tier 1</t>
        </is>
      </c>
      <c r="G56" s="55" t="inlineStr">
        <is>
          <t>Tier 1</t>
        </is>
      </c>
      <c r="H56" s="55" t="inlineStr">
        <is>
          <t>Tier 1</t>
        </is>
      </c>
      <c r="I56" s="55" t="inlineStr">
        <is>
          <t>High</t>
        </is>
      </c>
      <c r="J56" s="55" t="inlineStr">
        <is>
          <t>Y</t>
        </is>
      </c>
      <c r="K56" s="55" t="inlineStr">
        <is>
          <t>Y</t>
        </is>
      </c>
      <c r="L56" s="55" t="inlineStr">
        <is>
          <t>Y</t>
        </is>
      </c>
      <c r="M56" s="55" t="inlineStr">
        <is>
          <t>All named dense retrievers have explicit retrieval training.</t>
        </is>
      </c>
      <c r="N56" s="55" t="inlineStr">
        <is>
          <t>https://arxiv.org/abs/2505.01146</t>
        </is>
      </c>
      <c r="O56" s="55" t="str"/>
    </row>
    <row r="57">
      <c r="A57" s="55" t="inlineStr">
        <is>
          <t>H03</t>
        </is>
      </c>
      <c r="B57" s="55" t="inlineStr">
        <is>
          <t>RAG-HPO</t>
        </is>
      </c>
      <c r="C57" s="55" t="inlineStr">
        <is>
          <t>He</t>
        </is>
      </c>
      <c r="D57" s="55" t="inlineStr">
        <is>
          <t>3</t>
        </is>
      </c>
      <c r="E57" s="55" t="inlineStr">
        <is>
          <t>FastEmbed library</t>
        </is>
      </c>
      <c r="F57" s="55" t="str"/>
      <c r="G57" s="55" t="inlineStr">
        <is>
          <t>Tier 1</t>
        </is>
      </c>
      <c r="H57" s="55" t="inlineStr">
        <is>
          <t>Tier 2</t>
        </is>
      </c>
      <c r="I57" s="55" t="inlineStr">
        <is>
          <t>Low</t>
        </is>
      </c>
      <c r="J57" s="55" t="inlineStr">
        <is>
          <t>N</t>
        </is>
      </c>
      <c r="K57" s="55" t="inlineStr">
        <is>
          <t>Y</t>
        </is>
      </c>
      <c r="L57" s="55" t="inlineStr">
        <is>
          <t>Y</t>
        </is>
      </c>
      <c r="M57" s="55" t="inlineStr">
        <is>
          <t>Library named but checkpoint omitted; FastEmbed ordinarily serves dedicated retrieval embeddings.</t>
        </is>
      </c>
      <c r="N57" s="55" t="inlineStr">
        <is>
          <t>https://arxiv.org/abs/2505.01146</t>
        </is>
      </c>
      <c r="O57" s="55" t="inlineStr">
        <is>
          <t>https://doi.org/10.1101/2024.12.01.24318253</t>
        </is>
      </c>
    </row>
    <row r="58">
      <c r="A58" s="55" t="inlineStr">
        <is>
          <t>H24</t>
        </is>
      </c>
      <c r="B58" s="55" t="inlineStr">
        <is>
          <t>CLEAR</t>
        </is>
      </c>
      <c r="C58" s="55" t="inlineStr">
        <is>
          <t>He</t>
        </is>
      </c>
      <c r="D58" s="55" t="inlineStr">
        <is>
          <t>24</t>
        </is>
      </c>
      <c r="E58" s="55" t="inlineStr">
        <is>
          <t>Entity selector: Bio+ClinicalBERT; chunk-embedding comparator: BGE</t>
        </is>
      </c>
      <c r="F58" s="55" t="str"/>
      <c r="G58" s="55" t="str"/>
      <c r="H58" s="55" t="inlineStr">
        <is>
          <t>Tier 2</t>
        </is>
      </c>
      <c r="I58" s="55" t="inlineStr">
        <is>
          <t>Low</t>
        </is>
      </c>
      <c r="J58" s="55" t="inlineStr">
        <is>
          <t>N</t>
        </is>
      </c>
      <c r="K58" s="55" t="inlineStr">
        <is>
          <t>N</t>
        </is>
      </c>
      <c r="L58" s="55" t="inlineStr">
        <is>
          <t>Y</t>
        </is>
      </c>
      <c r="M58" s="55" t="inlineStr">
        <is>
          <t>Primary system is entity-based RAG; BGE is the chunk-embedding baseline. Counted Tier2 only in adversarial sensitivity.</t>
        </is>
      </c>
      <c r="N58" s="55" t="inlineStr">
        <is>
          <t>https://arxiv.org/abs/2505.01146</t>
        </is>
      </c>
      <c r="O58" s="55" t="inlineStr">
        <is>
          <t>https://doi.org/10.1038/s41746-024-01377-1</t>
        </is>
      </c>
    </row>
    <row r="59">
      <c r="A59" s="55" t="inlineStr">
        <is>
          <t>H26</t>
        </is>
      </c>
      <c r="B59" s="55" t="inlineStr">
        <is>
          <t>WeiseEule</t>
        </is>
      </c>
      <c r="C59" s="55" t="inlineStr">
        <is>
          <t>He</t>
        </is>
      </c>
      <c r="D59" s="55" t="inlineStr">
        <is>
          <t>26</t>
        </is>
      </c>
      <c r="E59" s="55" t="inlineStr">
        <is>
          <t>MedCPT + BioBERT + BioGPT</t>
        </is>
      </c>
      <c r="F59" s="55" t="str"/>
      <c r="G59" s="55" t="str"/>
      <c r="H59" s="55" t="inlineStr">
        <is>
          <t>Tier 2</t>
        </is>
      </c>
      <c r="I59" s="55" t="inlineStr">
        <is>
          <t>Low</t>
        </is>
      </c>
      <c r="J59" s="55" t="inlineStr">
        <is>
          <t>N</t>
        </is>
      </c>
      <c r="K59" s="55" t="inlineStr">
        <is>
          <t>N</t>
        </is>
      </c>
      <c r="L59" s="55" t="inlineStr">
        <is>
          <t>Y</t>
        </is>
      </c>
      <c r="M59" s="55" t="inlineStr">
        <is>
          <t>Mixed set contains retrieval-trained and non-retrieval-trained encoders; no single selected encoder reported.</t>
        </is>
      </c>
      <c r="N59" s="55" t="inlineStr">
        <is>
          <t>https://arxiv.org/abs/2505.01146</t>
        </is>
      </c>
      <c r="O59" s="55" t="inlineStr">
        <is>
          <t>https://doi.org/10.1186/s12859-024-05902-7</t>
        </is>
      </c>
    </row>
    <row r="60">
      <c r="A60" s="55" t="inlineStr">
        <is>
          <t>H28</t>
        </is>
      </c>
      <c r="B60" s="55" t="inlineStr">
        <is>
          <t>SurgeryLLM</t>
        </is>
      </c>
      <c r="C60" s="55" t="inlineStr">
        <is>
          <t>He</t>
        </is>
      </c>
      <c r="D60" s="55" t="inlineStr">
        <is>
          <t>28</t>
        </is>
      </c>
      <c r="E60" s="55" t="inlineStr">
        <is>
          <t>GPT4All embedding package with Chroma</t>
        </is>
      </c>
      <c r="F60" s="55" t="str"/>
      <c r="G60" s="55" t="inlineStr">
        <is>
          <t>Tier 1</t>
        </is>
      </c>
      <c r="H60" s="55" t="inlineStr">
        <is>
          <t>Tier 1</t>
        </is>
      </c>
      <c r="I60" s="55" t="inlineStr">
        <is>
          <t>Low</t>
        </is>
      </c>
      <c r="J60" s="55" t="inlineStr">
        <is>
          <t>N</t>
        </is>
      </c>
      <c r="K60" s="55" t="inlineStr">
        <is>
          <t>Y</t>
        </is>
      </c>
      <c r="L60" s="55" t="inlineStr">
        <is>
          <t>Y</t>
        </is>
      </c>
      <c r="M60" s="55" t="inlineStr">
        <is>
          <t>Primary paper names the embedding package but not the actual checkpoint.</t>
        </is>
      </c>
      <c r="N60" s="55" t="inlineStr">
        <is>
          <t>https://arxiv.org/abs/2505.01146</t>
        </is>
      </c>
      <c r="O60" s="55" t="inlineStr">
        <is>
          <t>https://doi.org/10.1038/s41746-024-01391-3</t>
        </is>
      </c>
    </row>
    <row r="61">
      <c r="A61" s="55" t="inlineStr">
        <is>
          <t>H32</t>
        </is>
      </c>
      <c r="B61" s="55" t="inlineStr">
        <is>
          <t>MEDRAG toolkit</t>
        </is>
      </c>
      <c r="C61" s="55" t="inlineStr">
        <is>
          <t>He</t>
        </is>
      </c>
      <c r="D61" s="55" t="inlineStr">
        <is>
          <t>32</t>
        </is>
      </c>
      <c r="E61" s="55" t="inlineStr">
        <is>
          <t>BM25 + SPECTER + Contriever + MedCPT</t>
        </is>
      </c>
      <c r="F61" s="55" t="str"/>
      <c r="G61" s="55" t="str"/>
      <c r="H61" s="55" t="inlineStr">
        <is>
          <t>Tier 1</t>
        </is>
      </c>
      <c r="I61" s="55" t="inlineStr">
        <is>
          <t>Low</t>
        </is>
      </c>
      <c r="J61" s="55" t="inlineStr">
        <is>
          <t>N</t>
        </is>
      </c>
      <c r="K61" s="55" t="inlineStr">
        <is>
          <t>N</t>
        </is>
      </c>
      <c r="L61" s="55" t="inlineStr">
        <is>
          <t>Y</t>
        </is>
      </c>
      <c r="M61" s="55" t="inlineStr">
        <is>
          <t>Toolkit rather than a single deployed clinical system; all named dense encoders are retrieval-trained.</t>
        </is>
      </c>
      <c r="N61" s="55" t="inlineStr">
        <is>
          <t>https://arxiv.org/abs/2505.01146</t>
        </is>
      </c>
      <c r="O61" s="55" t="inlineStr">
        <is>
          <t>https://arxiv.org/abs/2402.13178</t>
        </is>
      </c>
    </row>
  </sheetData>
  <conditionalFormatting sqref="F2:H61">
    <cfRule type="expression" priority="1" dxfId="1">
      <formula>F2="Tier 2"</formula>
    </cfRule>
    <cfRule type="expression" priority="2" dxfId="3">
      <formula>F2="Tier 1"</formula>
    </cfRule>
  </conditionalFormatting>
  <conditionalFormatting sqref="J2:L61">
    <cfRule type="expression" priority="3" dxfId="4">
      <formula>J2="Y"</formula>
    </cfRule>
  </conditionalFormatting>
  <conditionalFormatting sqref="I2:I61">
    <cfRule type="expression" priority="4" dxfId="5">
      <formula>I2="Low"</formula>
    </cfRule>
  </conditionalFormatting>
  <dataValidations count="2">
    <dataValidation sqref="F2:H61" showDropDown="0" showInputMessage="0" showErrorMessage="0" allowBlank="0" type="list">
      <formula1>"Tier 1,Tier 2,Mixed,Unresolved; probable Tier 1,"</formula1>
    </dataValidation>
    <dataValidation sqref="J2:L61" showDropDown="0" showInputMessage="0" showErrorMessage="0" allowBlank="0" type="list">
      <formula1>"Y,N"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0" customWidth="1" style="46" min="1" max="1"/>
    <col width="28" customWidth="1" style="46" min="2" max="2"/>
    <col width="40" customWidth="1" style="46" min="3" max="3"/>
    <col width="16" customWidth="1" style="46" min="4" max="4"/>
    <col width="18" customWidth="1" style="46" min="5" max="5"/>
    <col width="48" customWidth="1" style="46" min="6" max="6"/>
    <col width="30" customWidth="1" style="46" min="7" max="7"/>
    <col width="34" customWidth="1" style="46" min="8" max="8"/>
    <col width="34" customWidth="1" style="46" min="9" max="9"/>
  </cols>
  <sheetData>
    <row r="1">
      <c r="A1" s="39" t="inlineStr">
        <is>
          <t>Review row</t>
        </is>
      </c>
      <c r="B1" s="39" t="inlineStr">
        <is>
          <t>System / lead author</t>
        </is>
      </c>
      <c r="C1" s="39" t="inlineStr">
        <is>
          <t>Reported encoder/retriever</t>
        </is>
      </c>
      <c r="D1" s="39" t="inlineStr">
        <is>
          <t>Tier classification</t>
        </is>
      </c>
      <c r="E1" s="39" t="inlineStr">
        <is>
          <t>Primary-analysis status</t>
        </is>
      </c>
      <c r="F1" s="39" t="inlineStr">
        <is>
          <t>Audit rationale</t>
        </is>
      </c>
      <c r="G1" s="39" t="inlineStr">
        <is>
          <t>Primary verification status</t>
        </is>
      </c>
      <c r="H1" s="39" t="inlineStr">
        <is>
          <t>Review URL</t>
        </is>
      </c>
      <c r="I1" s="39" t="inlineStr">
        <is>
          <t>Primary URL</t>
        </is>
      </c>
    </row>
    <row r="2">
      <c r="A2" s="55" t="n">
        <v>1</v>
      </c>
      <c r="B2" s="55" t="inlineStr">
        <is>
          <t>Abdullahi / CliniqIR</t>
        </is>
      </c>
      <c r="C2" s="55" t="inlineStr">
        <is>
          <t>ClinicalBERT, PubMedBERT, SciBERT, SapBERT, CODER, MedCPT; selected MedCPT + BM25</t>
        </is>
      </c>
      <c r="D2" s="55" t="inlineStr">
        <is>
          <t>Tier 1</t>
        </is>
      </c>
      <c r="E2" s="55" t="inlineStr">
        <is>
          <t>Include</t>
        </is>
      </c>
      <c r="F2" s="55" t="inlineStr">
        <is>
          <t>Operational dense component is MedCPT, a retrieval-trained biomedical encoder.</t>
        </is>
      </c>
      <c r="G2" s="55" t="inlineStr">
        <is>
          <t>Primary selection verified from system description</t>
        </is>
      </c>
      <c r="H2" s="55" t="inlineStr">
        <is>
          <t>https://journals.plos.org/digitalhealth/article?id=10.1371/journal.pdig.0000877</t>
        </is>
      </c>
      <c r="I2" s="55" t="str"/>
    </row>
    <row r="3">
      <c r="A3" s="55" t="n">
        <v>2</v>
      </c>
      <c r="B3" s="55" t="inlineStr">
        <is>
          <t>Alkhalaf</t>
        </is>
      </c>
      <c r="C3" s="55" t="inlineStr">
        <is>
          <t>Not reported</t>
        </is>
      </c>
      <c r="D3" s="55" t="inlineStr">
        <is>
          <t>Unclassifiable</t>
        </is>
      </c>
      <c r="E3" s="55" t="inlineStr">
        <is>
          <t>Exclude</t>
        </is>
      </c>
      <c r="F3" s="55" t="inlineStr">
        <is>
          <t>No operational dense encoder disclosed.</t>
        </is>
      </c>
      <c r="G3" s="55" t="inlineStr">
        <is>
          <t>Not recovered</t>
        </is>
      </c>
      <c r="H3" s="55" t="inlineStr">
        <is>
          <t>https://journals.plos.org/digitalhealth/article?id=10.1371/journal.pdig.0000877</t>
        </is>
      </c>
      <c r="I3" s="55" t="str"/>
    </row>
    <row r="4">
      <c r="A4" s="55" t="n">
        <v>3</v>
      </c>
      <c r="B4" s="55" t="inlineStr">
        <is>
          <t>Al Ghadban</t>
        </is>
      </c>
      <c r="C4" s="55" t="inlineStr">
        <is>
          <t>Not reported</t>
        </is>
      </c>
      <c r="D4" s="55" t="inlineStr">
        <is>
          <t>Unclassifiable</t>
        </is>
      </c>
      <c r="E4" s="55" t="inlineStr">
        <is>
          <t>Exclude</t>
        </is>
      </c>
      <c r="F4" s="55" t="inlineStr">
        <is>
          <t>No operational dense encoder disclosed.</t>
        </is>
      </c>
      <c r="G4" s="55" t="inlineStr">
        <is>
          <t>Not recovered</t>
        </is>
      </c>
      <c r="H4" s="55" t="inlineStr">
        <is>
          <t>https://journals.plos.org/digitalhealth/article?id=10.1371/journal.pdig.0000877</t>
        </is>
      </c>
      <c r="I4" s="55" t="str"/>
    </row>
    <row r="5">
      <c r="A5" s="55" t="n">
        <v>4</v>
      </c>
      <c r="B5" s="55" t="inlineStr">
        <is>
          <t>Aratesh</t>
        </is>
      </c>
      <c r="C5" s="55" t="inlineStr">
        <is>
          <t>OpenAI text-embedding-ada-002</t>
        </is>
      </c>
      <c r="D5" s="55" t="inlineStr">
        <is>
          <t>Tier 1</t>
        </is>
      </c>
      <c r="E5" s="55" t="inlineStr">
        <is>
          <t>Include</t>
        </is>
      </c>
      <c r="F5" s="55" t="inlineStr">
        <is>
          <t>Dedicated embedding service used for retrieval.</t>
        </is>
      </c>
      <c r="G5" s="55" t="inlineStr">
        <is>
          <t>Review extraction</t>
        </is>
      </c>
      <c r="H5" s="55" t="inlineStr">
        <is>
          <t>https://journals.plos.org/digitalhealth/article?id=10.1371/journal.pdig.0000877</t>
        </is>
      </c>
      <c r="I5" s="55" t="str"/>
    </row>
    <row r="6">
      <c r="A6" s="55" t="n">
        <v>5</v>
      </c>
      <c r="B6" s="55" t="inlineStr">
        <is>
          <t>Azimi / RAP</t>
        </is>
      </c>
      <c r="C6" s="55" t="inlineStr">
        <is>
          <t>Amazon Titan Text Embeddings V2</t>
        </is>
      </c>
      <c r="D6" s="55" t="inlineStr">
        <is>
          <t>Tier 1</t>
        </is>
      </c>
      <c r="E6" s="55" t="inlineStr">
        <is>
          <t>Include</t>
        </is>
      </c>
      <c r="F6" s="55" t="inlineStr">
        <is>
          <t>Dedicated embedding service used for retrieval.</t>
        </is>
      </c>
      <c r="G6" s="55" t="inlineStr">
        <is>
          <t>Review extraction</t>
        </is>
      </c>
      <c r="H6" s="55" t="inlineStr">
        <is>
          <t>https://journals.plos.org/digitalhealth/article?id=10.1371/journal.pdig.0000877</t>
        </is>
      </c>
      <c r="I6" s="55" t="str"/>
    </row>
    <row r="7">
      <c r="A7" s="55" t="n">
        <v>6</v>
      </c>
      <c r="B7" s="55" t="inlineStr">
        <is>
          <t>Benfenati</t>
        </is>
      </c>
      <c r="C7" s="55" t="inlineStr">
        <is>
          <t>GTE</t>
        </is>
      </c>
      <c r="D7" s="55" t="inlineStr">
        <is>
          <t>Tier 1</t>
        </is>
      </c>
      <c r="E7" s="55" t="inlineStr">
        <is>
          <t>Include</t>
        </is>
      </c>
      <c r="F7" s="55" t="inlineStr">
        <is>
          <t>GTE is trained as a general text retriever/embedding model.</t>
        </is>
      </c>
      <c r="G7" s="55" t="inlineStr">
        <is>
          <t>Review extraction</t>
        </is>
      </c>
      <c r="H7" s="55" t="inlineStr">
        <is>
          <t>https://journals.plos.org/digitalhealth/article?id=10.1371/journal.pdig.0000877</t>
        </is>
      </c>
      <c r="I7" s="55" t="str"/>
    </row>
    <row r="8">
      <c r="A8" s="55" t="n">
        <v>7</v>
      </c>
      <c r="B8" s="55" t="inlineStr">
        <is>
          <t>Bora &amp; Cuayáhuitl</t>
        </is>
      </c>
      <c r="C8" s="55" t="inlineStr">
        <is>
          <t>gtr-t5-large</t>
        </is>
      </c>
      <c r="D8" s="55" t="inlineStr">
        <is>
          <t>Tier 1</t>
        </is>
      </c>
      <c r="E8" s="55" t="inlineStr">
        <is>
          <t>Include</t>
        </is>
      </c>
      <c r="F8" s="55" t="inlineStr">
        <is>
          <t>GTR is trained for text retrieval.</t>
        </is>
      </c>
      <c r="G8" s="55" t="inlineStr">
        <is>
          <t>Review extraction</t>
        </is>
      </c>
      <c r="H8" s="55" t="inlineStr">
        <is>
          <t>https://journals.plos.org/digitalhealth/article?id=10.1371/journal.pdig.0000877</t>
        </is>
      </c>
      <c r="I8" s="55" t="str"/>
    </row>
    <row r="9">
      <c r="A9" s="55" t="n">
        <v>8</v>
      </c>
      <c r="B9" s="55" t="inlineStr">
        <is>
          <t>Chen [21]</t>
        </is>
      </c>
      <c r="C9" s="55" t="inlineStr">
        <is>
          <t>Not reported</t>
        </is>
      </c>
      <c r="D9" s="55" t="inlineStr">
        <is>
          <t>Unclassifiable</t>
        </is>
      </c>
      <c r="E9" s="55" t="inlineStr">
        <is>
          <t>Exclude</t>
        </is>
      </c>
      <c r="F9" s="55" t="inlineStr">
        <is>
          <t>No operational dense encoder disclosed.</t>
        </is>
      </c>
      <c r="G9" s="55" t="inlineStr">
        <is>
          <t>Not recovered</t>
        </is>
      </c>
      <c r="H9" s="55" t="inlineStr">
        <is>
          <t>https://journals.plos.org/digitalhealth/article?id=10.1371/journal.pdig.0000877</t>
        </is>
      </c>
      <c r="I9" s="55" t="str"/>
    </row>
    <row r="10">
      <c r="A10" s="55" t="n">
        <v>9</v>
      </c>
      <c r="B10" s="55" t="inlineStr">
        <is>
          <t>Chen [22]</t>
        </is>
      </c>
      <c r="C10" s="55" t="inlineStr">
        <is>
          <t>all-MiniLM-L6-v2</t>
        </is>
      </c>
      <c r="D10" s="55" t="inlineStr">
        <is>
          <t>Tier 1</t>
        </is>
      </c>
      <c r="E10" s="55" t="inlineStr">
        <is>
          <t>Include</t>
        </is>
      </c>
      <c r="F10" s="55" t="inlineStr">
        <is>
          <t>Sentence-transformer checkpoint trained for similarity/retrieval.</t>
        </is>
      </c>
      <c r="G10" s="55" t="inlineStr">
        <is>
          <t>Review extraction</t>
        </is>
      </c>
      <c r="H10" s="55" t="inlineStr">
        <is>
          <t>https://journals.plos.org/digitalhealth/article?id=10.1371/journal.pdig.0000877</t>
        </is>
      </c>
      <c r="I10" s="55" t="str"/>
    </row>
    <row r="11">
      <c r="A11" s="55" t="n">
        <v>10</v>
      </c>
      <c r="B11" s="55" t="inlineStr">
        <is>
          <t>Das</t>
        </is>
      </c>
      <c r="C11" s="55" t="inlineStr">
        <is>
          <t>Not reported</t>
        </is>
      </c>
      <c r="D11" s="55" t="inlineStr">
        <is>
          <t>Unclassifiable</t>
        </is>
      </c>
      <c r="E11" s="55" t="inlineStr">
        <is>
          <t>Exclude</t>
        </is>
      </c>
      <c r="F11" s="55" t="inlineStr">
        <is>
          <t>No operational dense encoder disclosed.</t>
        </is>
      </c>
      <c r="G11" s="55" t="inlineStr">
        <is>
          <t>Not recovered</t>
        </is>
      </c>
      <c r="H11" s="55" t="inlineStr">
        <is>
          <t>https://journals.plos.org/digitalhealth/article?id=10.1371/journal.pdig.0000877</t>
        </is>
      </c>
      <c r="I11" s="55" t="str"/>
    </row>
    <row r="12">
      <c r="A12" s="55" t="n">
        <v>11</v>
      </c>
      <c r="B12" s="55" t="inlineStr">
        <is>
          <t>Duan</t>
        </is>
      </c>
      <c r="C12" s="55" t="inlineStr">
        <is>
          <t>NER / knowledge-graph retrieval</t>
        </is>
      </c>
      <c r="D12" s="55" t="inlineStr">
        <is>
          <t>Not applicable</t>
        </is>
      </c>
      <c r="E12" s="55" t="inlineStr">
        <is>
          <t>Exclude</t>
        </is>
      </c>
      <c r="F12" s="55" t="inlineStr">
        <is>
          <t>No dense document encoder in the deployed retrieval path.</t>
        </is>
      </c>
      <c r="G12" s="55" t="inlineStr">
        <is>
          <t>Review extraction</t>
        </is>
      </c>
      <c r="H12" s="55" t="inlineStr">
        <is>
          <t>https://journals.plos.org/digitalhealth/article?id=10.1371/journal.pdig.0000877</t>
        </is>
      </c>
      <c r="I12" s="55" t="str"/>
    </row>
    <row r="13">
      <c r="A13" s="55" t="n">
        <v>12</v>
      </c>
      <c r="B13" s="55" t="inlineStr">
        <is>
          <t>Fukushima / JGCLLM</t>
        </is>
      </c>
      <c r="C13" s="55" t="inlineStr">
        <is>
          <t>GLuCoSE-base-ja</t>
        </is>
      </c>
      <c r="D13" s="55" t="inlineStr">
        <is>
          <t>Tier 1</t>
        </is>
      </c>
      <c r="E13" s="55" t="inlineStr">
        <is>
          <t>Include</t>
        </is>
      </c>
      <c r="F13" s="55" t="inlineStr">
        <is>
          <t>Contrastive sentence-embedding model.</t>
        </is>
      </c>
      <c r="G13" s="55" t="inlineStr">
        <is>
          <t>Review extraction</t>
        </is>
      </c>
      <c r="H13" s="55" t="inlineStr">
        <is>
          <t>https://journals.plos.org/digitalhealth/article?id=10.1371/journal.pdig.0000877</t>
        </is>
      </c>
      <c r="I13" s="55" t="str"/>
    </row>
    <row r="14">
      <c r="A14" s="55" t="n">
        <v>13</v>
      </c>
      <c r="B14" s="55" t="inlineStr">
        <is>
          <t>Gao</t>
        </is>
      </c>
      <c r="C14" s="55" t="inlineStr">
        <is>
          <t>T5/GPT with knowledge-graph/path ranking</t>
        </is>
      </c>
      <c r="D14" s="55" t="inlineStr">
        <is>
          <t>Not applicable</t>
        </is>
      </c>
      <c r="E14" s="55" t="inlineStr">
        <is>
          <t>Exclude</t>
        </is>
      </c>
      <c r="F14" s="55" t="inlineStr">
        <is>
          <t>Graph/path retrieval rather than a dense encoder choice.</t>
        </is>
      </c>
      <c r="G14" s="55" t="inlineStr">
        <is>
          <t>Review extraction</t>
        </is>
      </c>
      <c r="H14" s="55" t="inlineStr">
        <is>
          <t>https://journals.plos.org/digitalhealth/article?id=10.1371/journal.pdig.0000877</t>
        </is>
      </c>
      <c r="I14" s="55" t="str"/>
    </row>
    <row r="15">
      <c r="A15" s="55" t="n">
        <v>14</v>
      </c>
      <c r="B15" s="55" t="inlineStr">
        <is>
          <t>Garcia</t>
        </is>
      </c>
      <c r="C15" s="55" t="inlineStr">
        <is>
          <t>BGE</t>
        </is>
      </c>
      <c r="D15" s="55" t="inlineStr">
        <is>
          <t>Tier 1</t>
        </is>
      </c>
      <c r="E15" s="55" t="inlineStr">
        <is>
          <t>Include</t>
        </is>
      </c>
      <c r="F15" s="55" t="inlineStr">
        <is>
          <t>BGE is retrieval/contrastive-trained.</t>
        </is>
      </c>
      <c r="G15" s="55" t="inlineStr">
        <is>
          <t>Review extraction</t>
        </is>
      </c>
      <c r="H15" s="55" t="inlineStr">
        <is>
          <t>https://journals.plos.org/digitalhealth/article?id=10.1371/journal.pdig.0000877</t>
        </is>
      </c>
      <c r="I15" s="55" t="str"/>
    </row>
    <row r="16">
      <c r="A16" s="55" t="n">
        <v>15</v>
      </c>
      <c r="B16" s="55" t="inlineStr">
        <is>
          <t>Ge</t>
        </is>
      </c>
      <c r="C16" s="55" t="inlineStr">
        <is>
          <t>OpenAI text-embedding-ada-002</t>
        </is>
      </c>
      <c r="D16" s="55" t="inlineStr">
        <is>
          <t>Tier 1</t>
        </is>
      </c>
      <c r="E16" s="55" t="inlineStr">
        <is>
          <t>Include</t>
        </is>
      </c>
      <c r="F16" s="55" t="inlineStr">
        <is>
          <t>Dedicated embedding service.</t>
        </is>
      </c>
      <c r="G16" s="55" t="inlineStr">
        <is>
          <t>Review extraction</t>
        </is>
      </c>
      <c r="H16" s="55" t="inlineStr">
        <is>
          <t>https://journals.plos.org/digitalhealth/article?id=10.1371/journal.pdig.0000877</t>
        </is>
      </c>
      <c r="I16" s="55" t="str"/>
    </row>
    <row r="17">
      <c r="A17" s="55" t="n">
        <v>16</v>
      </c>
      <c r="B17" s="55" t="inlineStr">
        <is>
          <t>Griewing</t>
        </is>
      </c>
      <c r="C17" s="55" t="inlineStr">
        <is>
          <t>Not reported</t>
        </is>
      </c>
      <c r="D17" s="55" t="inlineStr">
        <is>
          <t>Unclassifiable</t>
        </is>
      </c>
      <c r="E17" s="55" t="inlineStr">
        <is>
          <t>Exclude</t>
        </is>
      </c>
      <c r="F17" s="55" t="inlineStr">
        <is>
          <t>No operational dense encoder disclosed.</t>
        </is>
      </c>
      <c r="G17" s="55" t="inlineStr">
        <is>
          <t>Not recovered</t>
        </is>
      </c>
      <c r="H17" s="55" t="inlineStr">
        <is>
          <t>https://journals.plos.org/digitalhealth/article?id=10.1371/journal.pdig.0000877</t>
        </is>
      </c>
      <c r="I17" s="55" t="str"/>
    </row>
    <row r="18">
      <c r="A18" s="55" t="n">
        <v>17</v>
      </c>
      <c r="B18" s="55" t="inlineStr">
        <is>
          <t>Guo / RALL</t>
        </is>
      </c>
      <c r="C18" s="55" t="inlineStr">
        <is>
          <t>Dense Passage Retriever with fine-tuned query encoder</t>
        </is>
      </c>
      <c r="D18" s="55" t="inlineStr">
        <is>
          <t>Tier 1</t>
        </is>
      </c>
      <c r="E18" s="55" t="inlineStr">
        <is>
          <t>Include</t>
        </is>
      </c>
      <c r="F18" s="55" t="inlineStr">
        <is>
          <t>Primary paper uses DPR and fine-tunes the query encoder; not bare BERT.</t>
        </is>
      </c>
      <c r="G18" s="55" t="inlineStr">
        <is>
          <t>Primary verified</t>
        </is>
      </c>
      <c r="H18" s="55" t="inlineStr">
        <is>
          <t>https://journals.plos.org/digitalhealth/article?id=10.1371/journal.pdig.0000877</t>
        </is>
      </c>
      <c r="I18" s="55" t="inlineStr">
        <is>
          <t>https://doi.org/10.1016/j.jbi.2023.104580</t>
        </is>
      </c>
    </row>
    <row r="19">
      <c r="A19" s="55" t="n">
        <v>18</v>
      </c>
      <c r="B19" s="55" t="inlineStr">
        <is>
          <t>Jeong / Self-BioRAG</t>
        </is>
      </c>
      <c r="C19" s="55" t="inlineStr">
        <is>
          <t>MedCPT</t>
        </is>
      </c>
      <c r="D19" s="55" t="inlineStr">
        <is>
          <t>Tier 1</t>
        </is>
      </c>
      <c r="E19" s="55" t="inlineStr">
        <is>
          <t>Include</t>
        </is>
      </c>
      <c r="F19" s="55" t="inlineStr">
        <is>
          <t>MedCPT is contrastively trained on PubMed search logs.</t>
        </is>
      </c>
      <c r="G19" s="55" t="inlineStr">
        <is>
          <t>Primary/system verified</t>
        </is>
      </c>
      <c r="H19" s="55" t="inlineStr">
        <is>
          <t>https://journals.plos.org/digitalhealth/article?id=10.1371/journal.pdig.0000877</t>
        </is>
      </c>
      <c r="I19" s="55" t="inlineStr">
        <is>
          <t>https://doi.org/10.1093/bioinformatics/btae238</t>
        </is>
      </c>
    </row>
    <row r="20">
      <c r="A20" s="55" t="n">
        <v>19</v>
      </c>
      <c r="B20" s="55" t="inlineStr">
        <is>
          <t>Jia</t>
        </is>
      </c>
      <c r="C20" s="55" t="inlineStr">
        <is>
          <t>BGE</t>
        </is>
      </c>
      <c r="D20" s="55" t="inlineStr">
        <is>
          <t>Tier 1</t>
        </is>
      </c>
      <c r="E20" s="55" t="inlineStr">
        <is>
          <t>Include</t>
        </is>
      </c>
      <c r="F20" s="55" t="inlineStr">
        <is>
          <t>Retrieval-trained embedding model.</t>
        </is>
      </c>
      <c r="G20" s="55" t="inlineStr">
        <is>
          <t>Review extraction</t>
        </is>
      </c>
      <c r="H20" s="55" t="inlineStr">
        <is>
          <t>https://journals.plos.org/digitalhealth/article?id=10.1371/journal.pdig.0000877</t>
        </is>
      </c>
      <c r="I20" s="55" t="str"/>
    </row>
    <row r="21">
      <c r="A21" s="55" t="n">
        <v>20</v>
      </c>
      <c r="B21" s="55" t="inlineStr">
        <is>
          <t>Jiang</t>
        </is>
      </c>
      <c r="C21" s="55" t="inlineStr">
        <is>
          <t>BGE</t>
        </is>
      </c>
      <c r="D21" s="55" t="inlineStr">
        <is>
          <t>Tier 1</t>
        </is>
      </c>
      <c r="E21" s="55" t="inlineStr">
        <is>
          <t>Include</t>
        </is>
      </c>
      <c r="F21" s="55" t="inlineStr">
        <is>
          <t>Retrieval-trained embedding model.</t>
        </is>
      </c>
      <c r="G21" s="55" t="inlineStr">
        <is>
          <t>Review extraction</t>
        </is>
      </c>
      <c r="H21" s="55" t="inlineStr">
        <is>
          <t>https://journals.plos.org/digitalhealth/article?id=10.1371/journal.pdig.0000877</t>
        </is>
      </c>
      <c r="I21" s="55" t="str"/>
    </row>
    <row r="22">
      <c r="A22" s="55" t="n">
        <v>21</v>
      </c>
      <c r="B22" s="55" t="inlineStr">
        <is>
          <t>Jin [69]</t>
        </is>
      </c>
      <c r="C22" s="55" t="inlineStr">
        <is>
          <t>OpenAI text-embedding-ada-002</t>
        </is>
      </c>
      <c r="D22" s="55" t="inlineStr">
        <is>
          <t>Tier 1</t>
        </is>
      </c>
      <c r="E22" s="55" t="inlineStr">
        <is>
          <t>Include</t>
        </is>
      </c>
      <c r="F22" s="55" t="inlineStr">
        <is>
          <t>Dedicated embedding service.</t>
        </is>
      </c>
      <c r="G22" s="55" t="inlineStr">
        <is>
          <t>Review extraction</t>
        </is>
      </c>
      <c r="H22" s="55" t="inlineStr">
        <is>
          <t>https://journals.plos.org/digitalhealth/article?id=10.1371/journal.pdig.0000877</t>
        </is>
      </c>
      <c r="I22" s="55" t="str"/>
    </row>
    <row r="23">
      <c r="A23" s="55" t="n">
        <v>22</v>
      </c>
      <c r="B23" s="55" t="inlineStr">
        <is>
          <t>Jin / GeneGPT</t>
        </is>
      </c>
      <c r="C23" s="55" t="inlineStr">
        <is>
          <t>Tool/API retrieval; no dense encoder</t>
        </is>
      </c>
      <c r="D23" s="55" t="inlineStr">
        <is>
          <t>Not applicable</t>
        </is>
      </c>
      <c r="E23" s="55" t="inlineStr">
        <is>
          <t>Exclude</t>
        </is>
      </c>
      <c r="F23" s="55" t="inlineStr">
        <is>
          <t>Tool-use system without an operational dense encoder.</t>
        </is>
      </c>
      <c r="G23" s="55" t="inlineStr">
        <is>
          <t>Review extraction</t>
        </is>
      </c>
      <c r="H23" s="55" t="inlineStr">
        <is>
          <t>https://journals.plos.org/digitalhealth/article?id=10.1371/journal.pdig.0000877</t>
        </is>
      </c>
      <c r="I23" s="55" t="str"/>
    </row>
    <row r="24">
      <c r="A24" s="55" t="n">
        <v>23</v>
      </c>
      <c r="B24" s="55" t="inlineStr">
        <is>
          <t>Hou</t>
        </is>
      </c>
      <c r="C24" s="55" t="inlineStr">
        <is>
          <t>OpenAI text-embedding-3-small</t>
        </is>
      </c>
      <c r="D24" s="55" t="inlineStr">
        <is>
          <t>Tier 1</t>
        </is>
      </c>
      <c r="E24" s="55" t="inlineStr">
        <is>
          <t>Include</t>
        </is>
      </c>
      <c r="F24" s="55" t="inlineStr">
        <is>
          <t>Dedicated embedding service.</t>
        </is>
      </c>
      <c r="G24" s="55" t="inlineStr">
        <is>
          <t>Review extraction</t>
        </is>
      </c>
      <c r="H24" s="55" t="inlineStr">
        <is>
          <t>https://journals.plos.org/digitalhealth/article?id=10.1371/journal.pdig.0000877</t>
        </is>
      </c>
      <c r="I24" s="55" t="str"/>
    </row>
    <row r="25">
      <c r="A25" s="55" t="n">
        <v>24</v>
      </c>
      <c r="B25" s="55" t="inlineStr">
        <is>
          <t>Kang</t>
        </is>
      </c>
      <c r="C25" s="55" t="inlineStr">
        <is>
          <t>None reported</t>
        </is>
      </c>
      <c r="D25" s="55" t="inlineStr">
        <is>
          <t>Unclassifiable</t>
        </is>
      </c>
      <c r="E25" s="55" t="inlineStr">
        <is>
          <t>Exclude</t>
        </is>
      </c>
      <c r="F25" s="55" t="inlineStr">
        <is>
          <t>No operational dense encoder disclosed.</t>
        </is>
      </c>
      <c r="G25" s="55" t="inlineStr">
        <is>
          <t>Not recovered</t>
        </is>
      </c>
      <c r="H25" s="55" t="inlineStr">
        <is>
          <t>https://journals.plos.org/digitalhealth/article?id=10.1371/journal.pdig.0000877</t>
        </is>
      </c>
      <c r="I25" s="55" t="str"/>
    </row>
    <row r="26">
      <c r="A26" s="55" t="n">
        <v>25</v>
      </c>
      <c r="B26" s="55" t="inlineStr">
        <is>
          <t>Ke [73]</t>
        </is>
      </c>
      <c r="C26" s="55" t="inlineStr">
        <is>
          <t>OpenAI text-embedding-ada-002</t>
        </is>
      </c>
      <c r="D26" s="55" t="inlineStr">
        <is>
          <t>Tier 1</t>
        </is>
      </c>
      <c r="E26" s="55" t="inlineStr">
        <is>
          <t>Include</t>
        </is>
      </c>
      <c r="F26" s="55" t="inlineStr">
        <is>
          <t>Dedicated embedding service.</t>
        </is>
      </c>
      <c r="G26" s="55" t="inlineStr">
        <is>
          <t>Review extraction</t>
        </is>
      </c>
      <c r="H26" s="55" t="inlineStr">
        <is>
          <t>https://journals.plos.org/digitalhealth/article?id=10.1371/journal.pdig.0000877</t>
        </is>
      </c>
      <c r="I26" s="55" t="str"/>
    </row>
    <row r="27">
      <c r="A27" s="55" t="n">
        <v>26</v>
      </c>
      <c r="B27" s="55" t="inlineStr">
        <is>
          <t>Ke [74]</t>
        </is>
      </c>
      <c r="C27" s="55" t="inlineStr">
        <is>
          <t>Not reported</t>
        </is>
      </c>
      <c r="D27" s="55" t="inlineStr">
        <is>
          <t>Unclassifiable</t>
        </is>
      </c>
      <c r="E27" s="55" t="inlineStr">
        <is>
          <t>Exclude</t>
        </is>
      </c>
      <c r="F27" s="55" t="inlineStr">
        <is>
          <t>No operational dense encoder disclosed.</t>
        </is>
      </c>
      <c r="G27" s="55" t="inlineStr">
        <is>
          <t>Not recovered</t>
        </is>
      </c>
      <c r="H27" s="55" t="inlineStr">
        <is>
          <t>https://journals.plos.org/digitalhealth/article?id=10.1371/journal.pdig.0000877</t>
        </is>
      </c>
      <c r="I27" s="55" t="str"/>
    </row>
    <row r="28">
      <c r="A28" s="55" t="n">
        <v>27</v>
      </c>
      <c r="B28" s="55" t="inlineStr">
        <is>
          <t>Klang</t>
        </is>
      </c>
      <c r="C28" s="55" t="inlineStr">
        <is>
          <t>GIST-large-embedding-v0</t>
        </is>
      </c>
      <c r="D28" s="55" t="inlineStr">
        <is>
          <t>Tier 1</t>
        </is>
      </c>
      <c r="E28" s="55" t="inlineStr">
        <is>
          <t>Include</t>
        </is>
      </c>
      <c r="F28" s="55" t="inlineStr">
        <is>
          <t>GISTEmbed is trained as a text-embedding/retrieval model.</t>
        </is>
      </c>
      <c r="G28" s="55" t="inlineStr">
        <is>
          <t>Review extraction</t>
        </is>
      </c>
      <c r="H28" s="55" t="inlineStr">
        <is>
          <t>https://journals.plos.org/digitalhealth/article?id=10.1371/journal.pdig.0000877</t>
        </is>
      </c>
      <c r="I28" s="55" t="str"/>
    </row>
    <row r="29">
      <c r="A29" s="55" t="n">
        <v>28</v>
      </c>
      <c r="B29" s="55" t="inlineStr">
        <is>
          <t>Kresevic</t>
        </is>
      </c>
      <c r="C29" s="55" t="inlineStr">
        <is>
          <t>Not reported</t>
        </is>
      </c>
      <c r="D29" s="55" t="inlineStr">
        <is>
          <t>Unclassifiable</t>
        </is>
      </c>
      <c r="E29" s="55" t="inlineStr">
        <is>
          <t>Exclude</t>
        </is>
      </c>
      <c r="F29" s="55" t="inlineStr">
        <is>
          <t>No operational dense encoder disclosed.</t>
        </is>
      </c>
      <c r="G29" s="55" t="inlineStr">
        <is>
          <t>Not recovered</t>
        </is>
      </c>
      <c r="H29" s="55" t="inlineStr">
        <is>
          <t>https://journals.plos.org/digitalhealth/article?id=10.1371/journal.pdig.0000877</t>
        </is>
      </c>
      <c r="I29" s="55" t="str"/>
    </row>
    <row r="30">
      <c r="A30" s="55" t="n">
        <v>29</v>
      </c>
      <c r="B30" s="55" t="inlineStr">
        <is>
          <t>Lee</t>
        </is>
      </c>
      <c r="C30" s="55" t="inlineStr">
        <is>
          <t>OpenAI embedding models</t>
        </is>
      </c>
      <c r="D30" s="55" t="inlineStr">
        <is>
          <t>Tier 1</t>
        </is>
      </c>
      <c r="E30" s="55" t="inlineStr">
        <is>
          <t>Include</t>
        </is>
      </c>
      <c r="F30" s="55" t="inlineStr">
        <is>
          <t>Dedicated embedding APIs.</t>
        </is>
      </c>
      <c r="G30" s="55" t="inlineStr">
        <is>
          <t>Review extraction</t>
        </is>
      </c>
      <c r="H30" s="55" t="inlineStr">
        <is>
          <t>https://journals.plos.org/digitalhealth/article?id=10.1371/journal.pdig.0000877</t>
        </is>
      </c>
      <c r="I30" s="55" t="str"/>
    </row>
    <row r="31">
      <c r="A31" s="55" t="n">
        <v>30</v>
      </c>
      <c r="B31" s="55" t="inlineStr">
        <is>
          <t>Li [79]</t>
        </is>
      </c>
      <c r="C31" s="55" t="inlineStr">
        <is>
          <t>Not reported</t>
        </is>
      </c>
      <c r="D31" s="55" t="inlineStr">
        <is>
          <t>Unclassifiable</t>
        </is>
      </c>
      <c r="E31" s="55" t="inlineStr">
        <is>
          <t>Exclude</t>
        </is>
      </c>
      <c r="F31" s="55" t="inlineStr">
        <is>
          <t>No operational dense encoder disclosed.</t>
        </is>
      </c>
      <c r="G31" s="55" t="inlineStr">
        <is>
          <t>Not recovered</t>
        </is>
      </c>
      <c r="H31" s="55" t="inlineStr">
        <is>
          <t>https://journals.plos.org/digitalhealth/article?id=10.1371/journal.pdig.0000877</t>
        </is>
      </c>
      <c r="I31" s="55" t="str"/>
    </row>
    <row r="32">
      <c r="A32" s="55" t="n">
        <v>31</v>
      </c>
      <c r="B32" s="55" t="inlineStr">
        <is>
          <t>Li [80]</t>
        </is>
      </c>
      <c r="C32" s="55" t="inlineStr">
        <is>
          <t>OpenAI text-embedding-3-small</t>
        </is>
      </c>
      <c r="D32" s="55" t="inlineStr">
        <is>
          <t>Tier 1</t>
        </is>
      </c>
      <c r="E32" s="55" t="inlineStr">
        <is>
          <t>Include</t>
        </is>
      </c>
      <c r="F32" s="55" t="inlineStr">
        <is>
          <t>Dedicated embedding service.</t>
        </is>
      </c>
      <c r="G32" s="55" t="inlineStr">
        <is>
          <t>Review extraction</t>
        </is>
      </c>
      <c r="H32" s="55" t="inlineStr">
        <is>
          <t>https://journals.plos.org/digitalhealth/article?id=10.1371/journal.pdig.0000877</t>
        </is>
      </c>
      <c r="I32" s="55" t="str"/>
    </row>
    <row r="33">
      <c r="A33" s="55" t="n">
        <v>32</v>
      </c>
      <c r="B33" s="55" t="inlineStr">
        <is>
          <t>Long / ChatENT</t>
        </is>
      </c>
      <c r="C33" s="55" t="inlineStr">
        <is>
          <t>OpenAI text-embedding-ada-002</t>
        </is>
      </c>
      <c r="D33" s="55" t="inlineStr">
        <is>
          <t>Tier 1</t>
        </is>
      </c>
      <c r="E33" s="55" t="inlineStr">
        <is>
          <t>Include</t>
        </is>
      </c>
      <c r="F33" s="55" t="inlineStr">
        <is>
          <t>Dedicated embedding service.</t>
        </is>
      </c>
      <c r="G33" s="55" t="inlineStr">
        <is>
          <t>Review extraction</t>
        </is>
      </c>
      <c r="H33" s="55" t="inlineStr">
        <is>
          <t>https://journals.plos.org/digitalhealth/article?id=10.1371/journal.pdig.0000877</t>
        </is>
      </c>
      <c r="I33" s="55" t="inlineStr">
        <is>
          <t>https://doi.org/10.1002/ohn.864</t>
        </is>
      </c>
    </row>
    <row r="34">
      <c r="A34" s="55" t="n">
        <v>33</v>
      </c>
      <c r="B34" s="55" t="inlineStr">
        <is>
          <t>Long / Bailicai</t>
        </is>
      </c>
      <c r="C34" s="55" t="inlineStr">
        <is>
          <t>No embedding reported</t>
        </is>
      </c>
      <c r="D34" s="55" t="inlineStr">
        <is>
          <t>Unclassifiable</t>
        </is>
      </c>
      <c r="E34" s="55" t="inlineStr">
        <is>
          <t>Exclude</t>
        </is>
      </c>
      <c r="F34" s="55" t="inlineStr">
        <is>
          <t>Generator named, but operational dense encoder not disclosed.</t>
        </is>
      </c>
      <c r="G34" s="55" t="inlineStr">
        <is>
          <t>Not recovered</t>
        </is>
      </c>
      <c r="H34" s="55" t="inlineStr">
        <is>
          <t>https://journals.plos.org/digitalhealth/article?id=10.1371/journal.pdig.0000877</t>
        </is>
      </c>
      <c r="I34" s="55" t="str"/>
    </row>
    <row r="35">
      <c r="A35" s="55" t="n">
        <v>34</v>
      </c>
      <c r="B35" s="55" t="inlineStr">
        <is>
          <t>Lozano</t>
        </is>
      </c>
      <c r="C35" s="55" t="inlineStr">
        <is>
          <t>Online search</t>
        </is>
      </c>
      <c r="D35" s="55" t="inlineStr">
        <is>
          <t>Not applicable</t>
        </is>
      </c>
      <c r="E35" s="55" t="inlineStr">
        <is>
          <t>Exclude</t>
        </is>
      </c>
      <c r="F35" s="55" t="inlineStr">
        <is>
          <t>Search-engine retrieval rather than dense encoder deployment.</t>
        </is>
      </c>
      <c r="G35" s="55" t="inlineStr">
        <is>
          <t>Review extraction</t>
        </is>
      </c>
      <c r="H35" s="55" t="inlineStr">
        <is>
          <t>https://journals.plos.org/digitalhealth/article?id=10.1371/journal.pdig.0000877</t>
        </is>
      </c>
      <c r="I35" s="55" t="str"/>
    </row>
    <row r="36">
      <c r="A36" s="55" t="n">
        <v>35</v>
      </c>
      <c r="B36" s="55" t="inlineStr">
        <is>
          <t>Luo</t>
        </is>
      </c>
      <c r="C36" s="55" t="inlineStr">
        <is>
          <t>SBERT</t>
        </is>
      </c>
      <c r="D36" s="55" t="inlineStr">
        <is>
          <t>Tier 1</t>
        </is>
      </c>
      <c r="E36" s="55" t="inlineStr">
        <is>
          <t>Include</t>
        </is>
      </c>
      <c r="F36" s="55" t="inlineStr">
        <is>
          <t>Sentence-BERT is explicitly trained for sentence similarity.</t>
        </is>
      </c>
      <c r="G36" s="55" t="inlineStr">
        <is>
          <t>Review extraction</t>
        </is>
      </c>
      <c r="H36" s="55" t="inlineStr">
        <is>
          <t>https://journals.plos.org/digitalhealth/article?id=10.1371/journal.pdig.0000877</t>
        </is>
      </c>
      <c r="I36" s="55" t="str"/>
    </row>
    <row r="37">
      <c r="A37" s="55" t="n">
        <v>36</v>
      </c>
      <c r="B37" s="55" t="inlineStr">
        <is>
          <t>Markey</t>
        </is>
      </c>
      <c r="C37" s="55" t="inlineStr">
        <is>
          <t>Online search / not reported</t>
        </is>
      </c>
      <c r="D37" s="55" t="inlineStr">
        <is>
          <t>Not applicable</t>
        </is>
      </c>
      <c r="E37" s="55" t="inlineStr">
        <is>
          <t>Exclude</t>
        </is>
      </c>
      <c r="F37" s="55" t="inlineStr">
        <is>
          <t>No classifiable dense encoder.</t>
        </is>
      </c>
      <c r="G37" s="55" t="inlineStr">
        <is>
          <t>Review extraction</t>
        </is>
      </c>
      <c r="H37" s="55" t="inlineStr">
        <is>
          <t>https://journals.plos.org/digitalhealth/article?id=10.1371/journal.pdig.0000877</t>
        </is>
      </c>
      <c r="I37" s="55" t="str"/>
    </row>
    <row r="38">
      <c r="A38" s="55" t="n">
        <v>37</v>
      </c>
      <c r="B38" s="55" t="inlineStr">
        <is>
          <t>Mashatian</t>
        </is>
      </c>
      <c r="C38" s="55" t="inlineStr">
        <is>
          <t>Not reported</t>
        </is>
      </c>
      <c r="D38" s="55" t="inlineStr">
        <is>
          <t>Unclassifiable</t>
        </is>
      </c>
      <c r="E38" s="55" t="inlineStr">
        <is>
          <t>Exclude</t>
        </is>
      </c>
      <c r="F38" s="55" t="inlineStr">
        <is>
          <t>No operational dense encoder disclosed.</t>
        </is>
      </c>
      <c r="G38" s="55" t="inlineStr">
        <is>
          <t>Not recovered</t>
        </is>
      </c>
      <c r="H38" s="55" t="inlineStr">
        <is>
          <t>https://journals.plos.org/digitalhealth/article?id=10.1371/journal.pdig.0000877</t>
        </is>
      </c>
      <c r="I38" s="55" t="str"/>
    </row>
    <row r="39">
      <c r="A39" s="55" t="n">
        <v>38</v>
      </c>
      <c r="B39" s="55" t="inlineStr">
        <is>
          <t>Matsumoto</t>
        </is>
      </c>
      <c r="C39" s="55" t="inlineStr">
        <is>
          <t>Knowledge graph / graph of thoughts</t>
        </is>
      </c>
      <c r="D39" s="55" t="inlineStr">
        <is>
          <t>Not applicable</t>
        </is>
      </c>
      <c r="E39" s="55" t="inlineStr">
        <is>
          <t>Exclude</t>
        </is>
      </c>
      <c r="F39" s="55" t="inlineStr">
        <is>
          <t>Graph retrieval rather than dense document embedding.</t>
        </is>
      </c>
      <c r="G39" s="55" t="inlineStr">
        <is>
          <t>Review extraction</t>
        </is>
      </c>
      <c r="H39" s="55" t="inlineStr">
        <is>
          <t>https://journals.plos.org/digitalhealth/article?id=10.1371/journal.pdig.0000877</t>
        </is>
      </c>
      <c r="I39" s="55" t="str"/>
    </row>
    <row r="40">
      <c r="A40" s="55" t="n">
        <v>39</v>
      </c>
      <c r="B40" s="55" t="inlineStr">
        <is>
          <t>Murugan</t>
        </is>
      </c>
      <c r="C40" s="55" t="inlineStr">
        <is>
          <t>OpenAI text-embedding-ada-002</t>
        </is>
      </c>
      <c r="D40" s="55" t="inlineStr">
        <is>
          <t>Tier 1</t>
        </is>
      </c>
      <c r="E40" s="55" t="inlineStr">
        <is>
          <t>Include</t>
        </is>
      </c>
      <c r="F40" s="55" t="inlineStr">
        <is>
          <t>Dedicated embedding service.</t>
        </is>
      </c>
      <c r="G40" s="55" t="inlineStr">
        <is>
          <t>Review extraction</t>
        </is>
      </c>
      <c r="H40" s="55" t="inlineStr">
        <is>
          <t>https://journals.plos.org/digitalhealth/article?id=10.1371/journal.pdig.0000877</t>
        </is>
      </c>
      <c r="I40" s="55" t="str"/>
    </row>
    <row r="41">
      <c r="A41" s="55" t="n">
        <v>40</v>
      </c>
      <c r="B41" s="55" t="inlineStr">
        <is>
          <t>Neupane</t>
        </is>
      </c>
      <c r="C41" s="55" t="inlineStr">
        <is>
          <t>OpenAI text-embedding-ada-002</t>
        </is>
      </c>
      <c r="D41" s="55" t="inlineStr">
        <is>
          <t>Tier 1</t>
        </is>
      </c>
      <c r="E41" s="55" t="inlineStr">
        <is>
          <t>Include</t>
        </is>
      </c>
      <c r="F41" s="55" t="inlineStr">
        <is>
          <t>Dedicated embedding service.</t>
        </is>
      </c>
      <c r="G41" s="55" t="inlineStr">
        <is>
          <t>Review extraction</t>
        </is>
      </c>
      <c r="H41" s="55" t="inlineStr">
        <is>
          <t>https://journals.plos.org/digitalhealth/article?id=10.1371/journal.pdig.0000877</t>
        </is>
      </c>
      <c r="I41" s="55" t="str"/>
    </row>
    <row r="42">
      <c r="A42" s="55" t="n">
        <v>41</v>
      </c>
      <c r="B42" s="55" t="inlineStr">
        <is>
          <t>Ong [88]</t>
        </is>
      </c>
      <c r="C42" s="55" t="inlineStr">
        <is>
          <t>OpenAI text-embedding-ada-002 + bge-small-en-v1.5</t>
        </is>
      </c>
      <c r="D42" s="55" t="inlineStr">
        <is>
          <t>Tier 1</t>
        </is>
      </c>
      <c r="E42" s="55" t="inlineStr">
        <is>
          <t>Include</t>
        </is>
      </c>
      <c r="F42" s="55" t="inlineStr">
        <is>
          <t>Both dense components are dedicated retrieval embeddings.</t>
        </is>
      </c>
      <c r="G42" s="55" t="inlineStr">
        <is>
          <t>Review extraction</t>
        </is>
      </c>
      <c r="H42" s="55" t="inlineStr">
        <is>
          <t>https://journals.plos.org/digitalhealth/article?id=10.1371/journal.pdig.0000877</t>
        </is>
      </c>
      <c r="I42" s="55" t="str"/>
    </row>
    <row r="43">
      <c r="A43" s="55" t="n">
        <v>42</v>
      </c>
      <c r="B43" s="55" t="inlineStr">
        <is>
          <t>Painter</t>
        </is>
      </c>
      <c r="C43" s="55" t="inlineStr">
        <is>
          <t>OpenAI text-embedding-ada-002</t>
        </is>
      </c>
      <c r="D43" s="55" t="inlineStr">
        <is>
          <t>Tier 1</t>
        </is>
      </c>
      <c r="E43" s="55" t="inlineStr">
        <is>
          <t>Include</t>
        </is>
      </c>
      <c r="F43" s="55" t="inlineStr">
        <is>
          <t>Dedicated embedding service.</t>
        </is>
      </c>
      <c r="G43" s="55" t="inlineStr">
        <is>
          <t>Review extraction</t>
        </is>
      </c>
      <c r="H43" s="55" t="inlineStr">
        <is>
          <t>https://journals.plos.org/digitalhealth/article?id=10.1371/journal.pdig.0000877</t>
        </is>
      </c>
      <c r="I43" s="55" t="str"/>
    </row>
    <row r="44">
      <c r="A44" s="55" t="n">
        <v>43</v>
      </c>
      <c r="B44" s="55" t="inlineStr">
        <is>
          <t>Pang</t>
        </is>
      </c>
      <c r="C44" s="55" t="inlineStr">
        <is>
          <t>Fine-tuned embedding model</t>
        </is>
      </c>
      <c r="D44" s="55" t="inlineStr">
        <is>
          <t>Tier 1</t>
        </is>
      </c>
      <c r="E44" s="55" t="inlineStr">
        <is>
          <t>Include</t>
        </is>
      </c>
      <c r="F44" s="55" t="inlineStr">
        <is>
          <t>Operational embedding was explicitly fine-tuned for the task.</t>
        </is>
      </c>
      <c r="G44" s="55" t="inlineStr">
        <is>
          <t>Review extraction</t>
        </is>
      </c>
      <c r="H44" s="55" t="inlineStr">
        <is>
          <t>https://journals.plos.org/digitalhealth/article?id=10.1371/journal.pdig.0000877</t>
        </is>
      </c>
      <c r="I44" s="55" t="str"/>
    </row>
    <row r="45">
      <c r="A45" s="55" t="n">
        <v>44</v>
      </c>
      <c r="B45" s="55" t="inlineStr">
        <is>
          <t>Parmanto</t>
        </is>
      </c>
      <c r="C45" s="55" t="inlineStr">
        <is>
          <t>BGE</t>
        </is>
      </c>
      <c r="D45" s="55" t="inlineStr">
        <is>
          <t>Tier 1</t>
        </is>
      </c>
      <c r="E45" s="55" t="inlineStr">
        <is>
          <t>Include</t>
        </is>
      </c>
      <c r="F45" s="55" t="inlineStr">
        <is>
          <t>Retrieval-trained embedding model.</t>
        </is>
      </c>
      <c r="G45" s="55" t="inlineStr">
        <is>
          <t>Review extraction</t>
        </is>
      </c>
      <c r="H45" s="55" t="inlineStr">
        <is>
          <t>https://journals.plos.org/digitalhealth/article?id=10.1371/journal.pdig.0000877</t>
        </is>
      </c>
      <c r="I45" s="55" t="str"/>
    </row>
    <row r="46">
      <c r="A46" s="55" t="n">
        <v>45</v>
      </c>
      <c r="B46" s="55" t="inlineStr">
        <is>
          <t>Quidwai</t>
        </is>
      </c>
      <c r="C46" s="55" t="inlineStr">
        <is>
          <t>bge-small-en-v1.5</t>
        </is>
      </c>
      <c r="D46" s="55" t="inlineStr">
        <is>
          <t>Tier 1</t>
        </is>
      </c>
      <c r="E46" s="55" t="inlineStr">
        <is>
          <t>Include</t>
        </is>
      </c>
      <c r="F46" s="55" t="inlineStr">
        <is>
          <t>Retrieval-trained embedding checkpoint.</t>
        </is>
      </c>
      <c r="G46" s="55" t="inlineStr">
        <is>
          <t>Review extraction</t>
        </is>
      </c>
      <c r="H46" s="55" t="inlineStr">
        <is>
          <t>https://journals.plos.org/digitalhealth/article?id=10.1371/journal.pdig.0000877</t>
        </is>
      </c>
      <c r="I46" s="55" t="str"/>
    </row>
    <row r="47">
      <c r="A47" s="55" t="n">
        <v>46</v>
      </c>
      <c r="B47" s="55" t="inlineStr">
        <is>
          <t>Ranjit</t>
        </is>
      </c>
      <c r="C47" s="55" t="inlineStr">
        <is>
          <t>ALBEF</t>
        </is>
      </c>
      <c r="D47" s="55" t="inlineStr">
        <is>
          <t>Tier 1</t>
        </is>
      </c>
      <c r="E47" s="55" t="inlineStr">
        <is>
          <t>Include</t>
        </is>
      </c>
      <c r="F47" s="55" t="inlineStr">
        <is>
          <t>Contrastively trained multimodal retrieval model.</t>
        </is>
      </c>
      <c r="G47" s="55" t="inlineStr">
        <is>
          <t>Review extraction</t>
        </is>
      </c>
      <c r="H47" s="55" t="inlineStr">
        <is>
          <t>https://journals.plos.org/digitalhealth/article?id=10.1371/journal.pdig.0000877</t>
        </is>
      </c>
      <c r="I47" s="55" t="str"/>
    </row>
    <row r="48">
      <c r="A48" s="55" t="n">
        <v>47</v>
      </c>
      <c r="B48" s="55" t="inlineStr">
        <is>
          <t>Rau</t>
        </is>
      </c>
      <c r="C48" s="55" t="inlineStr">
        <is>
          <t>OpenAI text-embedding-ada-002</t>
        </is>
      </c>
      <c r="D48" s="55" t="inlineStr">
        <is>
          <t>Tier 1</t>
        </is>
      </c>
      <c r="E48" s="55" t="inlineStr">
        <is>
          <t>Include</t>
        </is>
      </c>
      <c r="F48" s="55" t="inlineStr">
        <is>
          <t>Dedicated embedding service.</t>
        </is>
      </c>
      <c r="G48" s="55" t="inlineStr">
        <is>
          <t>Review extraction</t>
        </is>
      </c>
      <c r="H48" s="55" t="inlineStr">
        <is>
          <t>https://journals.plos.org/digitalhealth/article?id=10.1371/journal.pdig.0000877</t>
        </is>
      </c>
      <c r="I48" s="55" t="str"/>
    </row>
    <row r="49">
      <c r="A49" s="55" t="n">
        <v>48</v>
      </c>
      <c r="B49" s="55" t="inlineStr">
        <is>
          <t>Russe</t>
        </is>
      </c>
      <c r="C49" s="55" t="inlineStr">
        <is>
          <t>OpenAI text-embedding-ada-002</t>
        </is>
      </c>
      <c r="D49" s="55" t="inlineStr">
        <is>
          <t>Tier 1</t>
        </is>
      </c>
      <c r="E49" s="55" t="inlineStr">
        <is>
          <t>Include</t>
        </is>
      </c>
      <c r="F49" s="55" t="inlineStr">
        <is>
          <t>Dedicated embedding service.</t>
        </is>
      </c>
      <c r="G49" s="55" t="inlineStr">
        <is>
          <t>Review extraction</t>
        </is>
      </c>
      <c r="H49" s="55" t="inlineStr">
        <is>
          <t>https://journals.plos.org/digitalhealth/article?id=10.1371/journal.pdig.0000877</t>
        </is>
      </c>
      <c r="I49" s="55" t="str"/>
    </row>
    <row r="50">
      <c r="A50" s="55" t="n">
        <v>49</v>
      </c>
      <c r="B50" s="55" t="inlineStr">
        <is>
          <t>Shashikumar</t>
        </is>
      </c>
      <c r="C50" s="55" t="inlineStr">
        <is>
          <t>Not reported</t>
        </is>
      </c>
      <c r="D50" s="55" t="inlineStr">
        <is>
          <t>Unclassifiable</t>
        </is>
      </c>
      <c r="E50" s="55" t="inlineStr">
        <is>
          <t>Exclude</t>
        </is>
      </c>
      <c r="F50" s="55" t="inlineStr">
        <is>
          <t>No operational dense encoder disclosed.</t>
        </is>
      </c>
      <c r="G50" s="55" t="inlineStr">
        <is>
          <t>Not recovered</t>
        </is>
      </c>
      <c r="H50" s="55" t="inlineStr">
        <is>
          <t>https://journals.plos.org/digitalhealth/article?id=10.1371/journal.pdig.0000877</t>
        </is>
      </c>
      <c r="I50" s="55" t="str"/>
    </row>
    <row r="51">
      <c r="A51" s="55" t="n">
        <v>50</v>
      </c>
      <c r="B51" s="55" t="inlineStr">
        <is>
          <t>Shi / Chat-Orthopedist</t>
        </is>
      </c>
      <c r="C51" s="55" t="inlineStr">
        <is>
          <t>MPNet; primary article cites the original MPNet base-model paper</t>
        </is>
      </c>
      <c r="D51" s="55" t="inlineStr">
        <is>
          <t>Tier 2</t>
        </is>
      </c>
      <c r="E51" s="55" t="inlineStr">
        <is>
          <t>Include</t>
        </is>
      </c>
      <c r="F51" s="55" t="inlineStr">
        <is>
          <t>No retrieval/similarity-tuned checkpoint is identified. Recoded as ambiguous in sensitivity notes.</t>
        </is>
      </c>
      <c r="G51" s="55" t="inlineStr">
        <is>
          <t>Primary reference checked; exact checkpoint unavailable</t>
        </is>
      </c>
      <c r="H51" s="55" t="inlineStr">
        <is>
          <t>https://journals.plos.org/digitalhealth/article?id=10.1371/journal.pdig.0000877</t>
        </is>
      </c>
      <c r="I51" s="55" t="inlineStr">
        <is>
          <t>https://doi.org/10.1145/3584371.3612956</t>
        </is>
      </c>
    </row>
    <row r="52">
      <c r="A52" s="55" t="n">
        <v>51</v>
      </c>
      <c r="B52" s="55" t="inlineStr">
        <is>
          <t>Soman / KG-RAG</t>
        </is>
      </c>
      <c r="C52" s="55" t="inlineStr">
        <is>
          <t>PubMedBERT selected for context embeddings</t>
        </is>
      </c>
      <c r="D52" s="55" t="inlineStr">
        <is>
          <t>Tier 2</t>
        </is>
      </c>
      <c r="E52" s="55" t="inlineStr">
        <is>
          <t>Include</t>
        </is>
      </c>
      <c r="F52" s="55" t="inlineStr">
        <is>
          <t>Primary paper selected base PubMedBERT for semantic context pruning after model comparison.</t>
        </is>
      </c>
      <c r="G52" s="55" t="inlineStr">
        <is>
          <t>Primary verified</t>
        </is>
      </c>
      <c r="H52" s="55" t="inlineStr">
        <is>
          <t>https://journals.plos.org/digitalhealth/article?id=10.1371/journal.pdig.0000877</t>
        </is>
      </c>
      <c r="I52" s="55" t="inlineStr">
        <is>
          <t>https://doi.org/10.1093/bioinformatics/btae560</t>
        </is>
      </c>
    </row>
    <row r="53">
      <c r="A53" s="55" t="n">
        <v>52</v>
      </c>
      <c r="B53" s="55" t="inlineStr">
        <is>
          <t>So</t>
        </is>
      </c>
      <c r="C53" s="55" t="inlineStr">
        <is>
          <t>OpenAI text-embedding-ada-002</t>
        </is>
      </c>
      <c r="D53" s="55" t="inlineStr">
        <is>
          <t>Tier 1</t>
        </is>
      </c>
      <c r="E53" s="55" t="inlineStr">
        <is>
          <t>Include</t>
        </is>
      </c>
      <c r="F53" s="55" t="inlineStr">
        <is>
          <t>Dedicated embedding service.</t>
        </is>
      </c>
      <c r="G53" s="55" t="inlineStr">
        <is>
          <t>Review extraction</t>
        </is>
      </c>
      <c r="H53" s="55" t="inlineStr">
        <is>
          <t>https://journals.plos.org/digitalhealth/article?id=10.1371/journal.pdig.0000877</t>
        </is>
      </c>
      <c r="I53" s="55" t="str"/>
    </row>
    <row r="54">
      <c r="A54" s="55" t="n">
        <v>53</v>
      </c>
      <c r="B54" s="55" t="inlineStr">
        <is>
          <t>Soong</t>
        </is>
      </c>
      <c r="C54" s="55" t="inlineStr">
        <is>
          <t>OpenAI text-embedding-ada-002</t>
        </is>
      </c>
      <c r="D54" s="55" t="inlineStr">
        <is>
          <t>Tier 1</t>
        </is>
      </c>
      <c r="E54" s="55" t="inlineStr">
        <is>
          <t>Include</t>
        </is>
      </c>
      <c r="F54" s="55" t="inlineStr">
        <is>
          <t>Dedicated embedding service.</t>
        </is>
      </c>
      <c r="G54" s="55" t="inlineStr">
        <is>
          <t>Review extraction</t>
        </is>
      </c>
      <c r="H54" s="55" t="inlineStr">
        <is>
          <t>https://journals.plos.org/digitalhealth/article?id=10.1371/journal.pdig.0000877</t>
        </is>
      </c>
      <c r="I54" s="55" t="inlineStr">
        <is>
          <t>https://arxiv.org/abs/2305.17116</t>
        </is>
      </c>
    </row>
    <row r="55">
      <c r="A55" s="55" t="n">
        <v>54</v>
      </c>
      <c r="B55" s="55" t="inlineStr">
        <is>
          <t>Steybe / GuideGPT</t>
        </is>
      </c>
      <c r="C55" s="55" t="inlineStr">
        <is>
          <t>OpenAI text-embedding-ada-002</t>
        </is>
      </c>
      <c r="D55" s="55" t="inlineStr">
        <is>
          <t>Tier 1</t>
        </is>
      </c>
      <c r="E55" s="55" t="inlineStr">
        <is>
          <t>Include</t>
        </is>
      </c>
      <c r="F55" s="55" t="inlineStr">
        <is>
          <t>Dedicated embedding service.</t>
        </is>
      </c>
      <c r="G55" s="55" t="inlineStr">
        <is>
          <t>Review extraction</t>
        </is>
      </c>
      <c r="H55" s="55" t="inlineStr">
        <is>
          <t>https://journals.plos.org/digitalhealth/article?id=10.1371/journal.pdig.0000877</t>
        </is>
      </c>
      <c r="I55" s="55" t="inlineStr">
        <is>
          <t>https://doi.org/10.1016/j.jcms.2024.12.009</t>
        </is>
      </c>
    </row>
    <row r="56">
      <c r="A56" s="55" t="n">
        <v>55</v>
      </c>
      <c r="B56" s="55" t="inlineStr">
        <is>
          <t>Thompson</t>
        </is>
      </c>
      <c r="C56" s="55" t="inlineStr">
        <is>
          <t>Rules/regex; no dense encoder</t>
        </is>
      </c>
      <c r="D56" s="55" t="inlineStr">
        <is>
          <t>Not applicable</t>
        </is>
      </c>
      <c r="E56" s="55" t="inlineStr">
        <is>
          <t>Exclude</t>
        </is>
      </c>
      <c r="F56" s="55" t="inlineStr">
        <is>
          <t>No dense encoder in retrieval path.</t>
        </is>
      </c>
      <c r="G56" s="55" t="inlineStr">
        <is>
          <t>Review extraction</t>
        </is>
      </c>
      <c r="H56" s="55" t="inlineStr">
        <is>
          <t>https://journals.plos.org/digitalhealth/article?id=10.1371/journal.pdig.0000877</t>
        </is>
      </c>
      <c r="I56" s="55" t="str"/>
    </row>
    <row r="57">
      <c r="A57" s="55" t="n">
        <v>56</v>
      </c>
      <c r="B57" s="55" t="inlineStr">
        <is>
          <t>Unlu / RECTIFIER</t>
        </is>
      </c>
      <c r="C57" s="55" t="inlineStr">
        <is>
          <t>OpenAI text-embedding-ada-002</t>
        </is>
      </c>
      <c r="D57" s="55" t="inlineStr">
        <is>
          <t>Tier 1</t>
        </is>
      </c>
      <c r="E57" s="55" t="inlineStr">
        <is>
          <t>Include</t>
        </is>
      </c>
      <c r="F57" s="55" t="inlineStr">
        <is>
          <t>Dedicated embedding service.</t>
        </is>
      </c>
      <c r="G57" s="55" t="inlineStr">
        <is>
          <t>Review extraction</t>
        </is>
      </c>
      <c r="H57" s="55" t="inlineStr">
        <is>
          <t>https://journals.plos.org/digitalhealth/article?id=10.1371/journal.pdig.0000877</t>
        </is>
      </c>
      <c r="I57" s="55" t="inlineStr">
        <is>
          <t>https://doi.org/10.1101/2024.02.08.24302376</t>
        </is>
      </c>
    </row>
    <row r="58">
      <c r="A58" s="55" t="n">
        <v>57</v>
      </c>
      <c r="B58" s="55" t="inlineStr">
        <is>
          <t>Vaid</t>
        </is>
      </c>
      <c r="C58" s="55" t="inlineStr">
        <is>
          <t>Not reported</t>
        </is>
      </c>
      <c r="D58" s="55" t="inlineStr">
        <is>
          <t>Unclassifiable</t>
        </is>
      </c>
      <c r="E58" s="55" t="inlineStr">
        <is>
          <t>Exclude</t>
        </is>
      </c>
      <c r="F58" s="55" t="inlineStr">
        <is>
          <t>No operational dense encoder disclosed.</t>
        </is>
      </c>
      <c r="G58" s="55" t="inlineStr">
        <is>
          <t>Not recovered</t>
        </is>
      </c>
      <c r="H58" s="55" t="inlineStr">
        <is>
          <t>https://journals.plos.org/digitalhealth/article?id=10.1371/journal.pdig.0000877</t>
        </is>
      </c>
      <c r="I58" s="55" t="str"/>
    </row>
    <row r="59">
      <c r="A59" s="55" t="n">
        <v>58</v>
      </c>
      <c r="B59" s="55" t="inlineStr">
        <is>
          <t>Wang [105]</t>
        </is>
      </c>
      <c r="C59" s="55" t="inlineStr">
        <is>
          <t>Not reported</t>
        </is>
      </c>
      <c r="D59" s="55" t="inlineStr">
        <is>
          <t>Unclassifiable</t>
        </is>
      </c>
      <c r="E59" s="55" t="inlineStr">
        <is>
          <t>Exclude</t>
        </is>
      </c>
      <c r="F59" s="55" t="inlineStr">
        <is>
          <t>No operational dense encoder disclosed.</t>
        </is>
      </c>
      <c r="G59" s="55" t="inlineStr">
        <is>
          <t>Not recovered</t>
        </is>
      </c>
      <c r="H59" s="55" t="inlineStr">
        <is>
          <t>https://journals.plos.org/digitalhealth/article?id=10.1371/journal.pdig.0000877</t>
        </is>
      </c>
      <c r="I59" s="55" t="str"/>
    </row>
    <row r="60">
      <c r="A60" s="55" t="n">
        <v>59</v>
      </c>
      <c r="B60" s="55" t="inlineStr">
        <is>
          <t>Wang [106]</t>
        </is>
      </c>
      <c r="C60" s="55" t="inlineStr">
        <is>
          <t>ColBERT</t>
        </is>
      </c>
      <c r="D60" s="55" t="inlineStr">
        <is>
          <t>Tier 1</t>
        </is>
      </c>
      <c r="E60" s="55" t="inlineStr">
        <is>
          <t>Include</t>
        </is>
      </c>
      <c r="F60" s="55" t="inlineStr">
        <is>
          <t>ColBERT is explicitly trained for information retrieval.</t>
        </is>
      </c>
      <c r="G60" s="55" t="inlineStr">
        <is>
          <t>Review extraction</t>
        </is>
      </c>
      <c r="H60" s="55" t="inlineStr">
        <is>
          <t>https://journals.plos.org/digitalhealth/article?id=10.1371/journal.pdig.0000877</t>
        </is>
      </c>
      <c r="I60" s="55" t="str"/>
    </row>
    <row r="61">
      <c r="A61" s="55" t="n">
        <v>60</v>
      </c>
      <c r="B61" s="55" t="inlineStr">
        <is>
          <t>Wang [107] / RISE</t>
        </is>
      </c>
      <c r="C61" s="55" t="inlineStr">
        <is>
          <t>OpenAI text-embedding-ada-002</t>
        </is>
      </c>
      <c r="D61" s="55" t="inlineStr">
        <is>
          <t>Tier 1</t>
        </is>
      </c>
      <c r="E61" s="55" t="inlineStr">
        <is>
          <t>Include</t>
        </is>
      </c>
      <c r="F61" s="55" t="inlineStr">
        <is>
          <t>Dedicated embedding service.</t>
        </is>
      </c>
      <c r="G61" s="55" t="inlineStr">
        <is>
          <t>Review extraction</t>
        </is>
      </c>
      <c r="H61" s="55" t="inlineStr">
        <is>
          <t>https://journals.plos.org/digitalhealth/article?id=10.1371/journal.pdig.0000877</t>
        </is>
      </c>
      <c r="I61" s="55" t="inlineStr">
        <is>
          <t>https://doi.org/10.2196/58041</t>
        </is>
      </c>
    </row>
    <row r="62">
      <c r="A62" s="55" t="n">
        <v>61</v>
      </c>
      <c r="B62" s="55" t="inlineStr">
        <is>
          <t>Wornow</t>
        </is>
      </c>
      <c r="C62" s="55" t="inlineStr">
        <is>
          <t>MiniLM + BGE</t>
        </is>
      </c>
      <c r="D62" s="55" t="inlineStr">
        <is>
          <t>Tier 1</t>
        </is>
      </c>
      <c r="E62" s="55" t="inlineStr">
        <is>
          <t>Include</t>
        </is>
      </c>
      <c r="F62" s="55" t="inlineStr">
        <is>
          <t>Named dense components are sentence/retrieval embedding models.</t>
        </is>
      </c>
      <c r="G62" s="55" t="inlineStr">
        <is>
          <t>Review extraction</t>
        </is>
      </c>
      <c r="H62" s="55" t="inlineStr">
        <is>
          <t>https://journals.plos.org/digitalhealth/article?id=10.1371/journal.pdig.0000877</t>
        </is>
      </c>
      <c r="I62" s="55" t="str"/>
    </row>
    <row r="63">
      <c r="A63" s="55" t="n">
        <v>62</v>
      </c>
      <c r="B63" s="55" t="inlineStr">
        <is>
          <t>Woo</t>
        </is>
      </c>
      <c r="C63" s="55" t="inlineStr">
        <is>
          <t>Not reported</t>
        </is>
      </c>
      <c r="D63" s="55" t="inlineStr">
        <is>
          <t>Unclassifiable</t>
        </is>
      </c>
      <c r="E63" s="55" t="inlineStr">
        <is>
          <t>Exclude</t>
        </is>
      </c>
      <c r="F63" s="55" t="inlineStr">
        <is>
          <t>No operational dense encoder disclosed.</t>
        </is>
      </c>
      <c r="G63" s="55" t="inlineStr">
        <is>
          <t>Not recovered</t>
        </is>
      </c>
      <c r="H63" s="55" t="inlineStr">
        <is>
          <t>https://journals.plos.org/digitalhealth/article?id=10.1371/journal.pdig.0000877</t>
        </is>
      </c>
      <c r="I63" s="55" t="str"/>
    </row>
    <row r="64">
      <c r="A64" s="55" t="n">
        <v>63</v>
      </c>
      <c r="B64" s="55" t="inlineStr">
        <is>
          <t>Wu</t>
        </is>
      </c>
      <c r="C64" s="55" t="inlineStr">
        <is>
          <t>OpenAI text-embedding-3-large</t>
        </is>
      </c>
      <c r="D64" s="55" t="inlineStr">
        <is>
          <t>Tier 1</t>
        </is>
      </c>
      <c r="E64" s="55" t="inlineStr">
        <is>
          <t>Include</t>
        </is>
      </c>
      <c r="F64" s="55" t="inlineStr">
        <is>
          <t>Dedicated embedding service.</t>
        </is>
      </c>
      <c r="G64" s="55" t="inlineStr">
        <is>
          <t>Review extraction</t>
        </is>
      </c>
      <c r="H64" s="55" t="inlineStr">
        <is>
          <t>https://journals.plos.org/digitalhealth/article?id=10.1371/journal.pdig.0000877</t>
        </is>
      </c>
      <c r="I64" s="55" t="str"/>
    </row>
    <row r="65">
      <c r="A65" s="55" t="n">
        <v>64</v>
      </c>
      <c r="B65" s="55" t="inlineStr">
        <is>
          <t>Yu, Guo &amp; Sano</t>
        </is>
      </c>
      <c r="C65" s="55" t="inlineStr">
        <is>
          <t>OpenAI text-embedding-ada-002</t>
        </is>
      </c>
      <c r="D65" s="55" t="inlineStr">
        <is>
          <t>Tier 1</t>
        </is>
      </c>
      <c r="E65" s="55" t="inlineStr">
        <is>
          <t>Include</t>
        </is>
      </c>
      <c r="F65" s="55" t="inlineStr">
        <is>
          <t>Dedicated embedding service.</t>
        </is>
      </c>
      <c r="G65" s="55" t="inlineStr">
        <is>
          <t>Review extraction</t>
        </is>
      </c>
      <c r="H65" s="55" t="inlineStr">
        <is>
          <t>https://journals.plos.org/digitalhealth/article?id=10.1371/journal.pdig.0000877</t>
        </is>
      </c>
      <c r="I65" s="55" t="str"/>
    </row>
    <row r="66">
      <c r="A66" s="55" t="n">
        <v>65</v>
      </c>
      <c r="B66" s="55" t="inlineStr">
        <is>
          <t>Yu</t>
        </is>
      </c>
      <c r="C66" s="55" t="inlineStr">
        <is>
          <t>MiniLM sentence embedding</t>
        </is>
      </c>
      <c r="D66" s="55" t="inlineStr">
        <is>
          <t>Tier 1</t>
        </is>
      </c>
      <c r="E66" s="55" t="inlineStr">
        <is>
          <t>Include</t>
        </is>
      </c>
      <c r="F66" s="55" t="inlineStr">
        <is>
          <t>Sentence-transformer family used for semantic retrieval.</t>
        </is>
      </c>
      <c r="G66" s="55" t="inlineStr">
        <is>
          <t>Review extraction</t>
        </is>
      </c>
      <c r="H66" s="55" t="inlineStr">
        <is>
          <t>https://journals.plos.org/digitalhealth/article?id=10.1371/journal.pdig.0000877</t>
        </is>
      </c>
      <c r="I66" s="55" t="str"/>
    </row>
    <row r="67">
      <c r="A67" s="55" t="n">
        <v>66</v>
      </c>
      <c r="B67" s="55" t="inlineStr">
        <is>
          <t>Zakka</t>
        </is>
      </c>
      <c r="C67" s="55" t="inlineStr">
        <is>
          <t>OpenAI text-embedding-ada-002</t>
        </is>
      </c>
      <c r="D67" s="55" t="inlineStr">
        <is>
          <t>Tier 1</t>
        </is>
      </c>
      <c r="E67" s="55" t="inlineStr">
        <is>
          <t>Include</t>
        </is>
      </c>
      <c r="F67" s="55" t="inlineStr">
        <is>
          <t>Dedicated embedding service.</t>
        </is>
      </c>
      <c r="G67" s="55" t="inlineStr">
        <is>
          <t>Review extraction</t>
        </is>
      </c>
      <c r="H67" s="55" t="inlineStr">
        <is>
          <t>https://journals.plos.org/digitalhealth/article?id=10.1371/journal.pdig.0000877</t>
        </is>
      </c>
      <c r="I67" s="55" t="str"/>
    </row>
    <row r="68">
      <c r="A68" s="55" t="n">
        <v>67</v>
      </c>
      <c r="B68" s="55" t="inlineStr">
        <is>
          <t>Ziletti</t>
        </is>
      </c>
      <c r="C68" s="55" t="inlineStr">
        <is>
          <t>bge-small-en-v1.5</t>
        </is>
      </c>
      <c r="D68" s="55" t="inlineStr">
        <is>
          <t>Tier 1</t>
        </is>
      </c>
      <c r="E68" s="55" t="inlineStr">
        <is>
          <t>Include</t>
        </is>
      </c>
      <c r="F68" s="55" t="inlineStr">
        <is>
          <t>Retrieval-trained embedding checkpoint.</t>
        </is>
      </c>
      <c r="G68" s="55" t="inlineStr">
        <is>
          <t>Review extraction</t>
        </is>
      </c>
      <c r="H68" s="55" t="inlineStr">
        <is>
          <t>https://journals.plos.org/digitalhealth/article?id=10.1371/journal.pdig.0000877</t>
        </is>
      </c>
      <c r="I68" s="55" t="str"/>
    </row>
    <row r="69">
      <c r="A69" s="55" t="n">
        <v>68</v>
      </c>
      <c r="B69" s="55" t="inlineStr">
        <is>
          <t>Zhao</t>
        </is>
      </c>
      <c r="C69" s="55" t="inlineStr">
        <is>
          <t>Custom knowledge graph</t>
        </is>
      </c>
      <c r="D69" s="55" t="inlineStr">
        <is>
          <t>Not applicable</t>
        </is>
      </c>
      <c r="E69" s="55" t="inlineStr">
        <is>
          <t>Exclude</t>
        </is>
      </c>
      <c r="F69" s="55" t="inlineStr">
        <is>
          <t>Graph retrieval; no classifiable dense encoder.</t>
        </is>
      </c>
      <c r="G69" s="55" t="inlineStr">
        <is>
          <t>Review extraction</t>
        </is>
      </c>
      <c r="H69" s="55" t="inlineStr">
        <is>
          <t>https://journals.plos.org/digitalhealth/article?id=10.1371/journal.pdig.0000877</t>
        </is>
      </c>
      <c r="I69" s="55" t="str"/>
    </row>
    <row r="70">
      <c r="A70" s="55" t="n">
        <v>69</v>
      </c>
      <c r="B70" s="55" t="inlineStr">
        <is>
          <t>Zheng / RAGPR</t>
        </is>
      </c>
      <c r="C70" s="55" t="inlineStr">
        <is>
          <t>FastText + SBERT + OpenAI text-embedding-3-large</t>
        </is>
      </c>
      <c r="D70" s="55" t="inlineStr">
        <is>
          <t>Tier 1</t>
        </is>
      </c>
      <c r="E70" s="55" t="inlineStr">
        <is>
          <t>Include</t>
        </is>
      </c>
      <c r="F70" s="55" t="inlineStr">
        <is>
          <t>Dense retrieval includes SBERT and a dedicated embedding API.</t>
        </is>
      </c>
      <c r="G70" s="55" t="inlineStr">
        <is>
          <t>Review extraction</t>
        </is>
      </c>
      <c r="H70" s="55" t="inlineStr">
        <is>
          <t>https://journals.plos.org/digitalhealth/article?id=10.1371/journal.pdig.0000877</t>
        </is>
      </c>
      <c r="I70" s="55" t="inlineStr">
        <is>
          <t>https://doi.org/10.3389/fpubh.2025.1501408</t>
        </is>
      </c>
    </row>
    <row r="71">
      <c r="A71" s="55" t="n">
        <v>70</v>
      </c>
      <c r="B71" s="55" t="inlineStr">
        <is>
          <t>Zhuo</t>
        </is>
      </c>
      <c r="C71" s="55" t="inlineStr">
        <is>
          <t>gte-base-zh with embedding fine-tuning</t>
        </is>
      </c>
      <c r="D71" s="55" t="inlineStr">
        <is>
          <t>Tier 1</t>
        </is>
      </c>
      <c r="E71" s="55" t="inlineStr">
        <is>
          <t>Include</t>
        </is>
      </c>
      <c r="F71" s="55" t="inlineStr">
        <is>
          <t>Retrieval-trained/fine-tuned embedding model.</t>
        </is>
      </c>
      <c r="G71" s="55" t="inlineStr">
        <is>
          <t>Review extraction</t>
        </is>
      </c>
      <c r="H71" s="55" t="inlineStr">
        <is>
          <t>https://journals.plos.org/digitalhealth/article?id=10.1371/journal.pdig.0000877</t>
        </is>
      </c>
      <c r="I71" s="55" t="str"/>
    </row>
  </sheetData>
  <conditionalFormatting sqref="D2:D71">
    <cfRule type="expression" priority="1" dxfId="1">
      <formula>D2="Tier 2"</formula>
    </cfRule>
  </conditionalFormatting>
  <conditionalFormatting sqref="E2:E71">
    <cfRule type="expression" priority="2" dxfId="4">
      <formula>E2="Include"</formula>
    </cfRule>
    <cfRule type="expression" priority="3" dxfId="8">
      <formula>E2="Exclude"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0" customWidth="1" style="46" min="1" max="1"/>
    <col width="25" customWidth="1" style="46" min="2" max="2"/>
    <col width="38" customWidth="1" style="46" min="3" max="3"/>
    <col width="20" customWidth="1" style="46" min="4" max="4"/>
    <col width="28" customWidth="1" style="46" min="5" max="5"/>
    <col width="48" customWidth="1" style="46" min="6" max="6"/>
    <col width="28" customWidth="1" style="46" min="7" max="7"/>
    <col width="34" customWidth="1" style="46" min="8" max="8"/>
    <col width="34" customWidth="1" style="46" min="9" max="9"/>
  </cols>
  <sheetData>
    <row r="1">
      <c r="A1" s="39" t="inlineStr">
        <is>
          <t>Survey row</t>
        </is>
      </c>
      <c r="B1" s="39" t="inlineStr">
        <is>
          <t>System</t>
        </is>
      </c>
      <c r="C1" s="39" t="inlineStr">
        <is>
          <t>Reported encoder/retriever</t>
        </is>
      </c>
      <c r="D1" s="39" t="inlineStr">
        <is>
          <t>Tier classification</t>
        </is>
      </c>
      <c r="E1" s="39" t="inlineStr">
        <is>
          <t>Dedup / analysis status</t>
        </is>
      </c>
      <c r="F1" s="39" t="inlineStr">
        <is>
          <t>Audit rationale</t>
        </is>
      </c>
      <c r="G1" s="39" t="inlineStr">
        <is>
          <t>Verification</t>
        </is>
      </c>
      <c r="H1" s="39" t="inlineStr">
        <is>
          <t>Survey URL</t>
        </is>
      </c>
      <c r="I1" s="39" t="inlineStr">
        <is>
          <t>Primary URL</t>
        </is>
      </c>
    </row>
    <row r="2">
      <c r="A2" s="55" t="n">
        <v>1</v>
      </c>
      <c r="B2" s="55" t="inlineStr">
        <is>
          <t>AskFDALabel</t>
        </is>
      </c>
      <c r="C2" s="55" t="inlineStr">
        <is>
          <t>Sentence Transformer</t>
        </is>
      </c>
      <c r="D2" s="55" t="inlineStr">
        <is>
          <t>Tier 1</t>
        </is>
      </c>
      <c r="E2" s="55" t="inlineStr">
        <is>
          <t>Unique - core</t>
        </is>
      </c>
      <c r="F2" s="55" t="inlineStr">
        <is>
          <t>Survey identifies Sentence Transformer/SBERT family; exact checkpoint not disclosed.</t>
        </is>
      </c>
      <c r="G2" s="55" t="inlineStr">
        <is>
          <t>Family-level classification</t>
        </is>
      </c>
      <c r="H2" s="55" t="inlineStr">
        <is>
          <t>https://arxiv.org/abs/2505.01146</t>
        </is>
      </c>
      <c r="I2" s="55" t="inlineStr">
        <is>
          <t>https://doi.org/10.1016/j.yrtph.2024.105613</t>
        </is>
      </c>
    </row>
    <row r="3">
      <c r="A3" s="55" t="n">
        <v>2</v>
      </c>
      <c r="B3" s="55" t="inlineStr">
        <is>
          <t>CaLM</t>
        </is>
      </c>
      <c r="C3" s="55" t="inlineStr">
        <is>
          <t>BGE embedding</t>
        </is>
      </c>
      <c r="D3" s="55" t="inlineStr">
        <is>
          <t>Tier 1</t>
        </is>
      </c>
      <c r="E3" s="55" t="inlineStr">
        <is>
          <t>Unique - core</t>
        </is>
      </c>
      <c r="F3" s="55" t="inlineStr">
        <is>
          <t>BGE is retrieval/contrastive-trained.</t>
        </is>
      </c>
      <c r="G3" s="55" t="inlineStr">
        <is>
          <t>Survey extraction</t>
        </is>
      </c>
      <c r="H3" s="55" t="inlineStr">
        <is>
          <t>https://arxiv.org/abs/2505.01146</t>
        </is>
      </c>
      <c r="I3" s="55" t="str"/>
    </row>
    <row r="4">
      <c r="A4" s="55" t="n">
        <v>3</v>
      </c>
      <c r="B4" s="55" t="inlineStr">
        <is>
          <t>RAG-HPO</t>
        </is>
      </c>
      <c r="C4" s="55" t="inlineStr">
        <is>
          <t>FastEmbed library</t>
        </is>
      </c>
      <c r="D4" s="55" t="inlineStr">
        <is>
          <t>Unresolved; probable Tier 1</t>
        </is>
      </c>
      <c r="E4" s="55" t="inlineStr">
        <is>
          <t>Unique - package sensitivity</t>
        </is>
      </c>
      <c r="F4" s="55" t="inlineStr">
        <is>
          <t>Library named but checkpoint omitted; FastEmbed ordinarily serves dedicated retrieval embeddings.</t>
        </is>
      </c>
      <c r="G4" s="55" t="inlineStr">
        <is>
          <t>Primary not fully recoverable</t>
        </is>
      </c>
      <c r="H4" s="55" t="inlineStr">
        <is>
          <t>https://arxiv.org/abs/2505.01146</t>
        </is>
      </c>
      <c r="I4" s="55" t="inlineStr">
        <is>
          <t>https://doi.org/10.1101/2024.12.01.24318253</t>
        </is>
      </c>
    </row>
    <row r="5">
      <c r="A5" s="55" t="n">
        <v>4</v>
      </c>
      <c r="B5" s="55" t="inlineStr">
        <is>
          <t>RALL</t>
        </is>
      </c>
      <c r="C5" s="55" t="inlineStr">
        <is>
          <t>DPR with fine-tuned query encoder</t>
        </is>
      </c>
      <c r="D5" s="55" t="inlineStr">
        <is>
          <t>Tier 1</t>
        </is>
      </c>
      <c r="E5" s="55" t="inlineStr">
        <is>
          <t>Duplicate - Amugongo 17</t>
        </is>
      </c>
      <c r="F5" s="55" t="inlineStr">
        <is>
          <t>Same Guo lay-language-generation paper.</t>
        </is>
      </c>
      <c r="G5" s="55" t="inlineStr">
        <is>
          <t>Primary verified</t>
        </is>
      </c>
      <c r="H5" s="55" t="inlineStr">
        <is>
          <t>https://arxiv.org/abs/2505.01146</t>
        </is>
      </c>
      <c r="I5" s="55" t="inlineStr">
        <is>
          <t>https://doi.org/10.1016/j.jbi.2023.104580</t>
        </is>
      </c>
    </row>
    <row r="6">
      <c r="A6" s="55" t="n">
        <v>5</v>
      </c>
      <c r="B6" s="55" t="inlineStr">
        <is>
          <t>RT (Retrieving and Thinking)</t>
        </is>
      </c>
      <c r="C6" s="55" t="inlineStr">
        <is>
          <t>BERT embeddings</t>
        </is>
      </c>
      <c r="D6" s="55" t="inlineStr">
        <is>
          <t>Tier 2</t>
        </is>
      </c>
      <c r="E6" s="55" t="inlineStr">
        <is>
          <t>Exclude - scope</t>
        </is>
      </c>
      <c r="F6" s="55" t="inlineStr">
        <is>
          <t>Few-shot NER example retrieval, not document retrieval feeding a generative clinical RAG output.</t>
        </is>
      </c>
      <c r="G6" s="55" t="inlineStr">
        <is>
          <t>Primary scope checked</t>
        </is>
      </c>
      <c r="H6" s="55" t="inlineStr">
        <is>
          <t>https://arxiv.org/abs/2505.01146</t>
        </is>
      </c>
      <c r="I6" s="55" t="inlineStr">
        <is>
          <t>https://doi.org/10.1093/jamia/ocae095</t>
        </is>
      </c>
    </row>
    <row r="7">
      <c r="A7" s="55" t="n">
        <v>6</v>
      </c>
      <c r="B7" s="55" t="inlineStr">
        <is>
          <t>RAG-GPT</t>
        </is>
      </c>
      <c r="C7" s="55" t="inlineStr">
        <is>
          <t>BGE embedding</t>
        </is>
      </c>
      <c r="D7" s="55" t="inlineStr">
        <is>
          <t>Tier 1</t>
        </is>
      </c>
      <c r="E7" s="55" t="inlineStr">
        <is>
          <t>Unique - core</t>
        </is>
      </c>
      <c r="F7" s="55" t="inlineStr">
        <is>
          <t>BGE is retrieval/contrastive-trained.</t>
        </is>
      </c>
      <c r="G7" s="55" t="inlineStr">
        <is>
          <t>Survey extraction</t>
        </is>
      </c>
      <c r="H7" s="55" t="inlineStr">
        <is>
          <t>https://arxiv.org/abs/2505.01146</t>
        </is>
      </c>
      <c r="I7" s="55" t="inlineStr">
        <is>
          <t>https://doi.org/10.1038/s41598-024-81052-3</t>
        </is>
      </c>
    </row>
    <row r="8">
      <c r="A8" s="55" t="n">
        <v>7</v>
      </c>
      <c r="B8" s="55" t="inlineStr">
        <is>
          <t>GNQA</t>
        </is>
      </c>
      <c r="C8" s="55" t="inlineStr">
        <is>
          <t>HNSW graph</t>
        </is>
      </c>
      <c r="D8" s="55" t="inlineStr">
        <is>
          <t>Unclassifiable</t>
        </is>
      </c>
      <c r="E8" s="55" t="inlineStr">
        <is>
          <t>Exclude</t>
        </is>
      </c>
      <c r="F8" s="55" t="inlineStr">
        <is>
          <t>HNSW is an ANN index, not an encoder.</t>
        </is>
      </c>
      <c r="G8" s="55" t="inlineStr">
        <is>
          <t>Survey extraction</t>
        </is>
      </c>
      <c r="H8" s="55" t="inlineStr">
        <is>
          <t>https://arxiv.org/abs/2505.01146</t>
        </is>
      </c>
      <c r="I8" s="55" t="str"/>
    </row>
    <row r="9">
      <c r="A9" s="55" t="n">
        <v>8</v>
      </c>
      <c r="B9" s="55" t="inlineStr">
        <is>
          <t>Klang et al.</t>
        </is>
      </c>
      <c r="C9" s="55" t="inlineStr">
        <is>
          <t>GIST Large Embedding</t>
        </is>
      </c>
      <c r="D9" s="55" t="inlineStr">
        <is>
          <t>Tier 1</t>
        </is>
      </c>
      <c r="E9" s="55" t="inlineStr">
        <is>
          <t>Duplicate - Amugongo 27</t>
        </is>
      </c>
      <c r="F9" s="55" t="inlineStr">
        <is>
          <t>Same ICD coding system.</t>
        </is>
      </c>
      <c r="G9" s="55" t="inlineStr">
        <is>
          <t>Survey dedup</t>
        </is>
      </c>
      <c r="H9" s="55" t="inlineStr">
        <is>
          <t>https://arxiv.org/abs/2505.01146</t>
        </is>
      </c>
      <c r="I9" s="55" t="str"/>
    </row>
    <row r="10">
      <c r="A10" s="55" t="n">
        <v>9</v>
      </c>
      <c r="B10" s="55" t="inlineStr">
        <is>
          <t>RAGPR</t>
        </is>
      </c>
      <c r="C10" s="55" t="inlineStr">
        <is>
          <t>SBERT embeddings</t>
        </is>
      </c>
      <c r="D10" s="55" t="inlineStr">
        <is>
          <t>Tier 1</t>
        </is>
      </c>
      <c r="E10" s="55" t="inlineStr">
        <is>
          <t>Duplicate - Amugongo 69</t>
        </is>
      </c>
      <c r="F10" s="55" t="inlineStr">
        <is>
          <t>Same personalized physician-recommendation paper.</t>
        </is>
      </c>
      <c r="G10" s="55" t="inlineStr">
        <is>
          <t>Primary/reference dedup</t>
        </is>
      </c>
      <c r="H10" s="55" t="inlineStr">
        <is>
          <t>https://arxiv.org/abs/2505.01146</t>
        </is>
      </c>
      <c r="I10" s="55" t="inlineStr">
        <is>
          <t>https://doi.org/10.3389/fpubh.2025.1501408</t>
        </is>
      </c>
    </row>
    <row r="11">
      <c r="A11" s="55" t="n">
        <v>10</v>
      </c>
      <c r="B11" s="55" t="inlineStr">
        <is>
          <t>JGCLLM</t>
        </is>
      </c>
      <c r="C11" s="55" t="inlineStr">
        <is>
          <t>GLuCoSE-base-ja</t>
        </is>
      </c>
      <c r="D11" s="55" t="inlineStr">
        <is>
          <t>Tier 1</t>
        </is>
      </c>
      <c r="E11" s="55" t="inlineStr">
        <is>
          <t>Duplicate - Amugongo 12</t>
        </is>
      </c>
      <c r="F11" s="55" t="inlineStr">
        <is>
          <t>Same Japanese genetic-counselling system.</t>
        </is>
      </c>
      <c r="G11" s="55" t="inlineStr">
        <is>
          <t>Survey dedup</t>
        </is>
      </c>
      <c r="H11" s="55" t="inlineStr">
        <is>
          <t>https://arxiv.org/abs/2505.01146</t>
        </is>
      </c>
      <c r="I11" s="55" t="inlineStr">
        <is>
          <t>https://doi.org/10.2196/65047</t>
        </is>
      </c>
    </row>
    <row r="12">
      <c r="A12" s="55" t="n">
        <v>11</v>
      </c>
      <c r="B12" s="55" t="inlineStr">
        <is>
          <t>DRAGON-AI</t>
        </is>
      </c>
      <c r="C12" s="55" t="inlineStr">
        <is>
          <t>OpenAI text embedding</t>
        </is>
      </c>
      <c r="D12" s="55" t="inlineStr">
        <is>
          <t>Tier 1</t>
        </is>
      </c>
      <c r="E12" s="55" t="inlineStr">
        <is>
          <t>Unique - core</t>
        </is>
      </c>
      <c r="F12" s="55" t="inlineStr">
        <is>
          <t>Dedicated embedding service.</t>
        </is>
      </c>
      <c r="G12" s="55" t="inlineStr">
        <is>
          <t>Primary/reference checked</t>
        </is>
      </c>
      <c r="H12" s="55" t="inlineStr">
        <is>
          <t>https://arxiv.org/abs/2505.01146</t>
        </is>
      </c>
      <c r="I12" s="55" t="inlineStr">
        <is>
          <t>https://doi.org/10.1186/s13326-024-00320-3</t>
        </is>
      </c>
    </row>
    <row r="13">
      <c r="A13" s="55" t="n">
        <v>12</v>
      </c>
      <c r="B13" s="55" t="inlineStr">
        <is>
          <t>RISE</t>
        </is>
      </c>
      <c r="C13" s="55" t="inlineStr">
        <is>
          <t>OpenAI text embedding</t>
        </is>
      </c>
      <c r="D13" s="55" t="inlineStr">
        <is>
          <t>Tier 1</t>
        </is>
      </c>
      <c r="E13" s="55" t="inlineStr">
        <is>
          <t>Duplicate - Amugongo 60</t>
        </is>
      </c>
      <c r="F13" s="55" t="inlineStr">
        <is>
          <t>Same diabetes-education paper.</t>
        </is>
      </c>
      <c r="G13" s="55" t="inlineStr">
        <is>
          <t>Primary/reference dedup</t>
        </is>
      </c>
      <c r="H13" s="55" t="inlineStr">
        <is>
          <t>https://arxiv.org/abs/2505.01146</t>
        </is>
      </c>
      <c r="I13" s="55" t="inlineStr">
        <is>
          <t>https://doi.org/10.2196/58041</t>
        </is>
      </c>
    </row>
    <row r="14">
      <c r="A14" s="55" t="n">
        <v>13</v>
      </c>
      <c r="B14" s="55" t="inlineStr">
        <is>
          <t>Dual RAG</t>
        </is>
      </c>
      <c r="C14" s="55" t="inlineStr">
        <is>
          <t>UPstage API + OpenAI embedding</t>
        </is>
      </c>
      <c r="D14" s="55" t="inlineStr">
        <is>
          <t>Tier 1</t>
        </is>
      </c>
      <c r="E14" s="55" t="inlineStr">
        <is>
          <t>Duplicate - Amugongo 29</t>
        </is>
      </c>
      <c r="F14" s="55" t="inlineStr">
        <is>
          <t>Same dual-RAG diabetes implementation.</t>
        </is>
      </c>
      <c r="G14" s="55" t="inlineStr">
        <is>
          <t>Probable title/reference dedup</t>
        </is>
      </c>
      <c r="H14" s="55" t="inlineStr">
        <is>
          <t>https://arxiv.org/abs/2505.01146</t>
        </is>
      </c>
      <c r="I14" s="55" t="str"/>
    </row>
    <row r="15">
      <c r="A15" s="55" t="n">
        <v>14</v>
      </c>
      <c r="B15" s="55" t="inlineStr">
        <is>
          <t>FAVOR-GPT</t>
        </is>
      </c>
      <c r="C15" s="55" t="inlineStr">
        <is>
          <t>OpenAI text embedding</t>
        </is>
      </c>
      <c r="D15" s="55" t="inlineStr">
        <is>
          <t>Tier 1</t>
        </is>
      </c>
      <c r="E15" s="55" t="inlineStr">
        <is>
          <t>Duplicate probable - Amugongo Li</t>
        </is>
      </c>
      <c r="F15" s="55" t="inlineStr">
        <is>
          <t>Whole-genome variant annotation system already represented by a Li row in Amugongo.</t>
        </is>
      </c>
      <c r="G15" s="55" t="inlineStr">
        <is>
          <t>Conservative dedup</t>
        </is>
      </c>
      <c r="H15" s="55" t="inlineStr">
        <is>
          <t>https://arxiv.org/abs/2505.01146</t>
        </is>
      </c>
      <c r="I15" s="55" t="inlineStr">
        <is>
          <t>https://doi.org/10.1093/bioadv/vbae143</t>
        </is>
      </c>
    </row>
    <row r="16">
      <c r="A16" s="55" t="n">
        <v>15</v>
      </c>
      <c r="B16" s="55" t="inlineStr">
        <is>
          <t>Endo-chat</t>
        </is>
      </c>
      <c r="C16" s="55" t="inlineStr">
        <is>
          <t>OpenAI text embedding</t>
        </is>
      </c>
      <c r="D16" s="55" t="inlineStr">
        <is>
          <t>Tier 1</t>
        </is>
      </c>
      <c r="E16" s="55" t="inlineStr">
        <is>
          <t>Unique - core</t>
        </is>
      </c>
      <c r="F16" s="55" t="inlineStr">
        <is>
          <t>Dedicated embedding service.</t>
        </is>
      </c>
      <c r="G16" s="55" t="inlineStr">
        <is>
          <t>Primary/reference checked</t>
        </is>
      </c>
      <c r="H16" s="55" t="inlineStr">
        <is>
          <t>https://arxiv.org/abs/2505.01146</t>
        </is>
      </c>
      <c r="I16" s="55" t="inlineStr">
        <is>
          <t>https://doi.org/10.3389/fmed.2024.1500258</t>
        </is>
      </c>
    </row>
    <row r="17">
      <c r="A17" s="55" t="n">
        <v>16</v>
      </c>
      <c r="B17" s="55" t="inlineStr">
        <is>
          <t>ChatENT</t>
        </is>
      </c>
      <c r="C17" s="55" t="inlineStr">
        <is>
          <t>OpenAI text embedding</t>
        </is>
      </c>
      <c r="D17" s="55" t="inlineStr">
        <is>
          <t>Tier 1</t>
        </is>
      </c>
      <c r="E17" s="55" t="inlineStr">
        <is>
          <t>Duplicate - Amugongo 32</t>
        </is>
      </c>
      <c r="F17" s="55" t="inlineStr">
        <is>
          <t>Same ChatENT paper.</t>
        </is>
      </c>
      <c r="G17" s="55" t="inlineStr">
        <is>
          <t>Primary/reference dedup</t>
        </is>
      </c>
      <c r="H17" s="55" t="inlineStr">
        <is>
          <t>https://arxiv.org/abs/2505.01146</t>
        </is>
      </c>
      <c r="I17" s="55" t="inlineStr">
        <is>
          <t>https://doi.org/10.1002/ohn.864</t>
        </is>
      </c>
    </row>
    <row r="18">
      <c r="A18" s="55" t="n">
        <v>17</v>
      </c>
      <c r="B18" s="55" t="inlineStr">
        <is>
          <t>GuideGPT</t>
        </is>
      </c>
      <c r="C18" s="55" t="inlineStr">
        <is>
          <t>OpenAI text embedding</t>
        </is>
      </c>
      <c r="D18" s="55" t="inlineStr">
        <is>
          <t>Tier 1</t>
        </is>
      </c>
      <c r="E18" s="55" t="inlineStr">
        <is>
          <t>Duplicate - Amugongo 54</t>
        </is>
      </c>
      <c r="F18" s="55" t="inlineStr">
        <is>
          <t>Same Steybe MRONJ chatbot.</t>
        </is>
      </c>
      <c r="G18" s="55" t="inlineStr">
        <is>
          <t>Primary/reference dedup</t>
        </is>
      </c>
      <c r="H18" s="55" t="inlineStr">
        <is>
          <t>https://arxiv.org/abs/2505.01146</t>
        </is>
      </c>
      <c r="I18" s="55" t="inlineStr">
        <is>
          <t>https://doi.org/10.1016/j.jcms.2024.12.009</t>
        </is>
      </c>
    </row>
    <row r="19">
      <c r="A19" s="55" t="n">
        <v>18</v>
      </c>
      <c r="B19" s="55" t="inlineStr">
        <is>
          <t>RECTIFIER</t>
        </is>
      </c>
      <c r="C19" s="55" t="inlineStr">
        <is>
          <t>OpenAI text embedding</t>
        </is>
      </c>
      <c r="D19" s="55" t="inlineStr">
        <is>
          <t>Tier 1</t>
        </is>
      </c>
      <c r="E19" s="55" t="inlineStr">
        <is>
          <t>Duplicate - Amugongo 56</t>
        </is>
      </c>
      <c r="F19" s="55" t="inlineStr">
        <is>
          <t>Same clinical-trial screening paper.</t>
        </is>
      </c>
      <c r="G19" s="55" t="inlineStr">
        <is>
          <t>Primary/reference dedup</t>
        </is>
      </c>
      <c r="H19" s="55" t="inlineStr">
        <is>
          <t>https://arxiv.org/abs/2505.01146</t>
        </is>
      </c>
      <c r="I19" s="55" t="inlineStr">
        <is>
          <t>https://doi.org/10.1101/2024.02.08.24302376</t>
        </is>
      </c>
    </row>
    <row r="20">
      <c r="A20" s="55" t="n">
        <v>19</v>
      </c>
      <c r="B20" s="55" t="inlineStr">
        <is>
          <t>RAP</t>
        </is>
      </c>
      <c r="C20" s="55" t="inlineStr">
        <is>
          <t>Amazon Titan embeddings</t>
        </is>
      </c>
      <c r="D20" s="55" t="inlineStr">
        <is>
          <t>Tier 1</t>
        </is>
      </c>
      <c r="E20" s="55" t="inlineStr">
        <is>
          <t>Duplicate - Amugongo 5</t>
        </is>
      </c>
      <c r="F20" s="55" t="inlineStr">
        <is>
          <t>Same Azimi nutrition/RD examination implementation.</t>
        </is>
      </c>
      <c r="G20" s="55" t="inlineStr">
        <is>
          <t>Primary/reference dedup</t>
        </is>
      </c>
      <c r="H20" s="55" t="inlineStr">
        <is>
          <t>https://arxiv.org/abs/2505.01146</t>
        </is>
      </c>
      <c r="I20" s="55" t="inlineStr">
        <is>
          <t>https://doi.org/10.1038/s41598-024-85003-w</t>
        </is>
      </c>
    </row>
    <row r="21">
      <c r="A21" s="55" t="n">
        <v>20</v>
      </c>
      <c r="B21" s="55" t="inlineStr">
        <is>
          <t>InfectA-Chat</t>
        </is>
      </c>
      <c r="C21" s="55" t="inlineStr">
        <is>
          <t>OpenAI text embedding</t>
        </is>
      </c>
      <c r="D21" s="55" t="inlineStr">
        <is>
          <t>Tier 1</t>
        </is>
      </c>
      <c r="E21" s="55" t="inlineStr">
        <is>
          <t>Unique - core</t>
        </is>
      </c>
      <c r="F21" s="55" t="inlineStr">
        <is>
          <t>Dedicated embedding service.</t>
        </is>
      </c>
      <c r="G21" s="55" t="inlineStr">
        <is>
          <t>Primary/reference checked</t>
        </is>
      </c>
      <c r="H21" s="55" t="inlineStr">
        <is>
          <t>https://arxiv.org/abs/2505.01146</t>
        </is>
      </c>
      <c r="I21" s="55" t="inlineStr">
        <is>
          <t>https://doi.org/10.2196/63881</t>
        </is>
      </c>
    </row>
    <row r="22">
      <c r="A22" s="55" t="n">
        <v>21</v>
      </c>
      <c r="B22" s="55" t="inlineStr">
        <is>
          <t>DCRAG</t>
        </is>
      </c>
      <c r="C22" s="55" t="inlineStr">
        <is>
          <t>OpenAI text embedding</t>
        </is>
      </c>
      <c r="D22" s="55" t="inlineStr">
        <is>
          <t>Tier 1</t>
        </is>
      </c>
      <c r="E22" s="55" t="inlineStr">
        <is>
          <t>Exclude - nonclinical</t>
        </is>
      </c>
      <c r="F22" s="55" t="inlineStr">
        <is>
          <t>Plant phenotype application outside target population.</t>
        </is>
      </c>
      <c r="G22" s="55" t="inlineStr">
        <is>
          <t>Scope checked</t>
        </is>
      </c>
      <c r="H22" s="55" t="inlineStr">
        <is>
          <t>https://arxiv.org/abs/2505.01146</t>
        </is>
      </c>
      <c r="I22" s="55" t="str"/>
    </row>
    <row r="23">
      <c r="A23" s="55" t="n">
        <v>22</v>
      </c>
      <c r="B23" s="55" t="inlineStr">
        <is>
          <t>PM-Search</t>
        </is>
      </c>
      <c r="C23" s="55" t="inlineStr">
        <is>
          <t>BioBERT</t>
        </is>
      </c>
      <c r="D23" s="55" t="inlineStr">
        <is>
          <t>Tier 2</t>
        </is>
      </c>
      <c r="E23" s="55" t="inlineStr">
        <is>
          <t>Exclude - retrieval only</t>
        </is>
      </c>
      <c r="F23" s="55" t="inlineStr">
        <is>
          <t>Biomedical literature retrieval without a generative RAG deployment.</t>
        </is>
      </c>
      <c r="G23" s="55" t="inlineStr">
        <is>
          <t>Scope checked</t>
        </is>
      </c>
      <c r="H23" s="55" t="inlineStr">
        <is>
          <t>https://arxiv.org/abs/2505.01146</t>
        </is>
      </c>
      <c r="I23" s="55" t="str"/>
    </row>
    <row r="24">
      <c r="A24" s="55" t="n">
        <v>23</v>
      </c>
      <c r="B24" s="55" t="inlineStr">
        <is>
          <t>LADER</t>
        </is>
      </c>
      <c r="C24" s="55" t="inlineStr">
        <is>
          <t>PubMedBERT-derived log-augmented retriever</t>
        </is>
      </c>
      <c r="D24" s="55" t="inlineStr">
        <is>
          <t>Tier 1</t>
        </is>
      </c>
      <c r="E24" s="55" t="inlineStr">
        <is>
          <t>Exclude - retrieval only</t>
        </is>
      </c>
      <c r="F24" s="55" t="inlineStr">
        <is>
          <t>Retrieval-only system; additionally trained with search logs.</t>
        </is>
      </c>
      <c r="G24" s="55" t="inlineStr">
        <is>
          <t>Primary abstract checked</t>
        </is>
      </c>
      <c r="H24" s="55" t="inlineStr">
        <is>
          <t>https://arxiv.org/abs/2505.01146</t>
        </is>
      </c>
      <c r="I24" s="55" t="inlineStr">
        <is>
          <t>https://doi.org/10.1145/3539618.3592005</t>
        </is>
      </c>
    </row>
    <row r="25">
      <c r="A25" s="55" t="n">
        <v>24</v>
      </c>
      <c r="B25" s="55" t="inlineStr">
        <is>
          <t>CLEAR</t>
        </is>
      </c>
      <c r="C25" s="55" t="inlineStr">
        <is>
          <t>Entity selector: Bio+ClinicalBERT; chunk-embedding comparator: BGE</t>
        </is>
      </c>
      <c r="D25" s="55" t="inlineStr">
        <is>
          <t>Tier 2 / noncanonical</t>
        </is>
      </c>
      <c r="E25" s="55" t="inlineStr">
        <is>
          <t>Unique - adversarial sensitivity</t>
        </is>
      </c>
      <c r="F25" s="55" t="inlineStr">
        <is>
          <t>Primary system is entity-based RAG; BGE is the chunk-embedding baseline. Counted Tier2 only in adversarial sensitivity.</t>
        </is>
      </c>
      <c r="G25" s="55" t="inlineStr">
        <is>
          <t>Primary verified</t>
        </is>
      </c>
      <c r="H25" s="55" t="inlineStr">
        <is>
          <t>https://arxiv.org/abs/2505.01146</t>
        </is>
      </c>
      <c r="I25" s="55" t="inlineStr">
        <is>
          <t>https://doi.org/10.1038/s41746-024-01377-1</t>
        </is>
      </c>
    </row>
    <row r="26">
      <c r="A26" s="55" t="n">
        <v>25</v>
      </c>
      <c r="B26" s="55" t="inlineStr">
        <is>
          <t>KG-RAG</t>
        </is>
      </c>
      <c r="C26" s="55" t="inlineStr">
        <is>
          <t>PubMedBERT</t>
        </is>
      </c>
      <c r="D26" s="55" t="inlineStr">
        <is>
          <t>Tier 2</t>
        </is>
      </c>
      <c r="E26" s="55" t="inlineStr">
        <is>
          <t>Duplicate - Amugongo 51</t>
        </is>
      </c>
      <c r="F26" s="55" t="inlineStr">
        <is>
          <t>Same Soman KG-RAG system.</t>
        </is>
      </c>
      <c r="G26" s="55" t="inlineStr">
        <is>
          <t>Primary verified</t>
        </is>
      </c>
      <c r="H26" s="55" t="inlineStr">
        <is>
          <t>https://arxiv.org/abs/2505.01146</t>
        </is>
      </c>
      <c r="I26" s="55" t="inlineStr">
        <is>
          <t>https://doi.org/10.1093/bioinformatics/btae560</t>
        </is>
      </c>
    </row>
    <row r="27">
      <c r="A27" s="55" t="n">
        <v>26</v>
      </c>
      <c r="B27" s="55" t="inlineStr">
        <is>
          <t>WeiseEule</t>
        </is>
      </c>
      <c r="C27" s="55" t="inlineStr">
        <is>
          <t>MedCPT + BioBERT + BioGPT</t>
        </is>
      </c>
      <c r="D27" s="55" t="inlineStr">
        <is>
          <t>Mixed</t>
        </is>
      </c>
      <c r="E27" s="55" t="inlineStr">
        <is>
          <t>Unique - adversarial sensitivity</t>
        </is>
      </c>
      <c r="F27" s="55" t="inlineStr">
        <is>
          <t>Mixed set contains retrieval-trained and non-retrieval-trained encoders; no single selected encoder reported.</t>
        </is>
      </c>
      <c r="G27" s="55" t="inlineStr">
        <is>
          <t>Survey/primary-method ambiguity</t>
        </is>
      </c>
      <c r="H27" s="55" t="inlineStr">
        <is>
          <t>https://arxiv.org/abs/2505.01146</t>
        </is>
      </c>
      <c r="I27" s="55" t="inlineStr">
        <is>
          <t>https://doi.org/10.1186/s12859-024-05902-7</t>
        </is>
      </c>
    </row>
    <row r="28">
      <c r="A28" s="55" t="n">
        <v>27</v>
      </c>
      <c r="B28" s="55" t="inlineStr">
        <is>
          <t>BiomedRAG</t>
        </is>
      </c>
      <c r="C28" s="55" t="inlineStr">
        <is>
          <t>Tailored learned chunk scorer supervised by LLM</t>
        </is>
      </c>
      <c r="D28" s="55" t="inlineStr">
        <is>
          <t>Tier 1</t>
        </is>
      </c>
      <c r="E28" s="55" t="inlineStr">
        <is>
          <t>Unique - core</t>
        </is>
      </c>
      <c r="F28" s="55" t="inlineStr">
        <is>
          <t>Primary paper trains an explicit retrieval scorer; survey label MedLLaMA refers to the broader architecture.</t>
        </is>
      </c>
      <c r="G28" s="55" t="inlineStr">
        <is>
          <t>Primary verified</t>
        </is>
      </c>
      <c r="H28" s="55" t="inlineStr">
        <is>
          <t>https://arxiv.org/abs/2505.01146</t>
        </is>
      </c>
      <c r="I28" s="55" t="inlineStr">
        <is>
          <t>https://arxiv.org/abs/2405.00465</t>
        </is>
      </c>
    </row>
    <row r="29">
      <c r="A29" s="55" t="n">
        <v>28</v>
      </c>
      <c r="B29" s="55" t="inlineStr">
        <is>
          <t>SurgeryLLM</t>
        </is>
      </c>
      <c r="C29" s="55" t="inlineStr">
        <is>
          <t>GPT4All embedding package with Chroma</t>
        </is>
      </c>
      <c r="D29" s="55" t="inlineStr">
        <is>
          <t>Unresolved; probable Tier 1</t>
        </is>
      </c>
      <c r="E29" s="55" t="inlineStr">
        <is>
          <t>Unique - package sensitivity</t>
        </is>
      </c>
      <c r="F29" s="55" t="inlineStr">
        <is>
          <t>Primary paper names the embedding package but not the actual checkpoint.</t>
        </is>
      </c>
      <c r="G29" s="55" t="inlineStr">
        <is>
          <t>Primary verified at package level</t>
        </is>
      </c>
      <c r="H29" s="55" t="inlineStr">
        <is>
          <t>https://arxiv.org/abs/2505.01146</t>
        </is>
      </c>
      <c r="I29" s="55" t="inlineStr">
        <is>
          <t>https://doi.org/10.1038/s41746-024-01391-3</t>
        </is>
      </c>
    </row>
    <row r="30">
      <c r="A30" s="55" t="n">
        <v>29</v>
      </c>
      <c r="B30" s="55" t="inlineStr">
        <is>
          <t>Myers et al.</t>
        </is>
      </c>
      <c r="C30" s="55" t="inlineStr">
        <is>
          <t>LLM2Vec comparison arm</t>
        </is>
      </c>
      <c r="D30" s="55" t="inlineStr">
        <is>
          <t>Not applicable</t>
        </is>
      </c>
      <c r="E30" s="55" t="inlineStr">
        <is>
          <t>Exclude - comparison</t>
        </is>
      </c>
      <c r="F30" s="55" t="inlineStr">
        <is>
          <t>Comparison arm rather than selected deployment encoder.</t>
        </is>
      </c>
      <c r="G30" s="55" t="inlineStr">
        <is>
          <t>Survey scope</t>
        </is>
      </c>
      <c r="H30" s="55" t="inlineStr">
        <is>
          <t>https://arxiv.org/abs/2505.01146</t>
        </is>
      </c>
      <c r="I30" s="55" t="str"/>
    </row>
    <row r="31">
      <c r="A31" s="55" t="n">
        <v>30</v>
      </c>
      <c r="B31" s="55" t="inlineStr">
        <is>
          <t>Self-BioRAG</t>
        </is>
      </c>
      <c r="C31" s="55" t="inlineStr">
        <is>
          <t>MedCPT</t>
        </is>
      </c>
      <c r="D31" s="55" t="inlineStr">
        <is>
          <t>Tier 1</t>
        </is>
      </c>
      <c r="E31" s="55" t="inlineStr">
        <is>
          <t>Duplicate - Amugongo 18</t>
        </is>
      </c>
      <c r="F31" s="55" t="inlineStr">
        <is>
          <t>Same system.</t>
        </is>
      </c>
      <c r="G31" s="55" t="inlineStr">
        <is>
          <t>Dedup</t>
        </is>
      </c>
      <c r="H31" s="55" t="inlineStr">
        <is>
          <t>https://arxiv.org/abs/2505.01146</t>
        </is>
      </c>
      <c r="I31" s="55" t="str"/>
    </row>
    <row r="32">
      <c r="A32" s="55" t="n">
        <v>31</v>
      </c>
      <c r="B32" s="55" t="inlineStr">
        <is>
          <t>CliniqIR</t>
        </is>
      </c>
      <c r="C32" s="55" t="inlineStr">
        <is>
          <t>MedCPT + BM25</t>
        </is>
      </c>
      <c r="D32" s="55" t="inlineStr">
        <is>
          <t>Tier 1</t>
        </is>
      </c>
      <c r="E32" s="55" t="inlineStr">
        <is>
          <t>Duplicate - Amugongo 1</t>
        </is>
      </c>
      <c r="F32" s="55" t="inlineStr">
        <is>
          <t>Same system.</t>
        </is>
      </c>
      <c r="G32" s="55" t="inlineStr">
        <is>
          <t>Dedup</t>
        </is>
      </c>
      <c r="H32" s="55" t="inlineStr">
        <is>
          <t>https://arxiv.org/abs/2505.01146</t>
        </is>
      </c>
      <c r="I32" s="55" t="str"/>
    </row>
    <row r="33">
      <c r="A33" s="55" t="n">
        <v>32</v>
      </c>
      <c r="B33" s="55" t="inlineStr">
        <is>
          <t>MEDRAG toolkit</t>
        </is>
      </c>
      <c r="C33" s="55" t="inlineStr">
        <is>
          <t>BM25 + SPECTER + Contriever + MedCPT</t>
        </is>
      </c>
      <c r="D33" s="55" t="inlineStr">
        <is>
          <t>Tier 1</t>
        </is>
      </c>
      <c r="E33" s="55" t="inlineStr">
        <is>
          <t>Unique - adversarial sensitivity</t>
        </is>
      </c>
      <c r="F33" s="55" t="inlineStr">
        <is>
          <t>Toolkit rather than a single deployed clinical system; all named dense encoders are retrieval-trained.</t>
        </is>
      </c>
      <c r="G33" s="55" t="inlineStr">
        <is>
          <t>Included only to force broad n=60 stress test</t>
        </is>
      </c>
      <c r="H33" s="55" t="inlineStr">
        <is>
          <t>https://arxiv.org/abs/2505.01146</t>
        </is>
      </c>
      <c r="I33" s="55" t="inlineStr">
        <is>
          <t>https://arxiv.org/abs/2402.13178</t>
        </is>
      </c>
    </row>
    <row r="34">
      <c r="A34" s="55" t="n">
        <v>33</v>
      </c>
      <c r="B34" s="55" t="inlineStr">
        <is>
          <t>RAMIE</t>
        </is>
      </c>
      <c r="C34" s="55" t="inlineStr">
        <is>
          <t>MedCPT + Contriever + BMRetriever</t>
        </is>
      </c>
      <c r="D34" s="55" t="inlineStr">
        <is>
          <t>Tier 1</t>
        </is>
      </c>
      <c r="E34" s="55" t="inlineStr">
        <is>
          <t>Unique - core</t>
        </is>
      </c>
      <c r="F34" s="55" t="inlineStr">
        <is>
          <t>All named dense retrievers have explicit retrieval training.</t>
        </is>
      </c>
      <c r="G34" s="55" t="inlineStr">
        <is>
          <t>Survey extraction</t>
        </is>
      </c>
      <c r="H34" s="55" t="inlineStr">
        <is>
          <t>https://arxiv.org/abs/2505.01146</t>
        </is>
      </c>
      <c r="I34" s="55" t="str"/>
    </row>
  </sheetData>
  <conditionalFormatting sqref="D2:D34">
    <cfRule type="expression" priority="1" dxfId="1">
      <formula>LEFT(D2,6)="Tier 2"</formula>
    </cfRule>
  </conditionalFormatting>
  <conditionalFormatting sqref="E2:E34">
    <cfRule type="expression" priority="2" dxfId="4">
      <formula>ISNUMBER(SEARCH("core",E2))</formula>
    </cfRule>
    <cfRule type="expression" priority="3" dxfId="5">
      <formula>ISNUMBER(SEARCH("sensitivity",E2))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style="46" min="1" max="1"/>
    <col width="44" customWidth="1" style="46" min="2" max="2"/>
    <col width="34" customWidth="1" style="46" min="3" max="3"/>
    <col width="34" customWidth="1" style="46" min="4" max="4"/>
    <col width="22" customWidth="1" style="46" min="5" max="5"/>
    <col width="44" customWidth="1" style="46" min="6" max="6"/>
  </cols>
  <sheetData>
    <row r="1">
      <c r="A1" s="62" t="inlineStr">
        <is>
          <t>Extraction and classification rules</t>
        </is>
      </c>
      <c r="B1" s="1" t="n"/>
      <c r="C1" s="1" t="n"/>
      <c r="D1" s="1" t="n"/>
      <c r="E1" s="1" t="n"/>
      <c r="F1" s="1" t="n"/>
    </row>
    <row r="3">
      <c r="A3" s="39" t="inlineStr">
        <is>
          <t>Rule</t>
        </is>
      </c>
      <c r="B3" s="39" t="inlineStr">
        <is>
          <t>Operational definition</t>
        </is>
      </c>
      <c r="C3" s="39" t="inlineStr">
        <is>
          <t>Included examples</t>
        </is>
      </c>
      <c r="D3" s="39" t="inlineStr">
        <is>
          <t>Excluded/ambiguous examples</t>
        </is>
      </c>
      <c r="E3" s="39" t="inlineStr">
        <is>
          <t>Bias direction</t>
        </is>
      </c>
      <c r="F3" s="39" t="inlineStr">
        <is>
          <t>Reason</t>
        </is>
      </c>
    </row>
    <row r="4">
      <c r="A4" s="55" t="inlineStr">
        <is>
          <t>Tier 1</t>
        </is>
      </c>
      <c r="B4" s="55" t="inlineStr">
        <is>
          <t>Encoder or service explicitly trained for retrieval, ranking, sentence similarity, contrastive embedding, or a task-specific learned retriever.</t>
        </is>
      </c>
      <c r="C4" s="55" t="inlineStr">
        <is>
          <t>BGE, GTE, MedCPT, DPR, SBERT, GIST, ColBERT, OpenAI/Titan embedding APIs</t>
        </is>
      </c>
      <c r="D4" s="55" t="inlineStr">
        <is>
          <t>None</t>
        </is>
      </c>
      <c r="E4" s="55" t="inlineStr">
        <is>
          <t>Reduces estimated p_tier2</t>
        </is>
      </c>
      <c r="F4" s="55" t="inlineStr">
        <is>
          <t>Whitening already-calibrated retrieval geometry is not the target intervention.</t>
        </is>
      </c>
    </row>
    <row r="5">
      <c r="A5" s="55" t="inlineStr">
        <is>
          <t>Tier 2</t>
        </is>
      </c>
      <c r="B5" s="55" t="inlineStr">
        <is>
          <t>Operational dense representation from a base language model without identified retrieval/similarity training.</t>
        </is>
      </c>
      <c r="C5" s="55" t="inlineStr">
        <is>
          <t>PubMedBERT in KG-RAG; MPNet in Chat-Orthopedist under main coding</t>
        </is>
      </c>
      <c r="D5" s="55" t="inlineStr">
        <is>
          <t>Exact checkpoint missing</t>
        </is>
      </c>
      <c r="E5" s="55" t="inlineStr">
        <is>
          <t>Increases estimated p_tier2</t>
        </is>
      </c>
      <c r="F5" s="55" t="inlineStr">
        <is>
          <t>These are the model classes plausibly susceptible to post-hoc geometric correction.</t>
        </is>
      </c>
    </row>
    <row r="6">
      <c r="A6" s="55" t="inlineStr">
        <is>
          <t>Population</t>
        </is>
      </c>
      <c r="B6" s="55" t="inlineStr">
        <is>
          <t>Unique clinical or biomedical system in which retrieved material is supplied to a generator or generative workflow.</t>
        </is>
      </c>
      <c r="C6" s="55" t="inlineStr">
        <is>
          <t>Clinical QA, decision support, report generation</t>
        </is>
      </c>
      <c r="D6" s="55" t="inlineStr">
        <is>
          <t>Retrieval-only search engines, NER example retrieval, nonclinical plant systems</t>
        </is>
      </c>
      <c r="E6" s="55" t="inlineStr">
        <is>
          <t>Avoids denominator inflation</t>
        </is>
      </c>
      <c r="F6" s="55" t="inlineStr">
        <is>
          <t>Matches the Paper 9 intervention population.</t>
        </is>
      </c>
    </row>
    <row r="7">
      <c r="A7" s="55" t="inlineStr">
        <is>
          <t>Deduplication</t>
        </is>
      </c>
      <c r="B7" s="55" t="inlineStr">
        <is>
          <t>Same primary paper/system appearing in both reviews is counted once.</t>
        </is>
      </c>
      <c r="C7" s="55" t="inlineStr">
        <is>
          <t>RALL/Guo, KG-RAG/Soman, Self-BioRAG/Jeong</t>
        </is>
      </c>
      <c r="D7" s="55" t="inlineStr">
        <is>
          <t>Review rows retained on source sheets but not repeated in Analysis_Set</t>
        </is>
      </c>
      <c r="E7" s="55" t="inlineStr">
        <is>
          <t>Prevents false precision</t>
        </is>
      </c>
      <c r="F7" s="55" t="inlineStr">
        <is>
          <t>The 70 + 33 source rows are not 103 independent systems.</t>
        </is>
      </c>
    </row>
    <row r="8">
      <c r="A8" s="55" t="inlineStr">
        <is>
          <t>Missing encoder</t>
        </is>
      </c>
      <c r="B8" s="55" t="inlineStr">
        <is>
          <t>Exclude from primary denominator when neither model family nor dedicated embedding service is identifiable.</t>
        </is>
      </c>
      <c r="C8" s="55" t="inlineStr">
        <is>
          <t>—</t>
        </is>
      </c>
      <c r="D8" s="55" t="inlineStr">
        <is>
          <t>NA, HNSW-only, vector DB only, unspecified embedding</t>
        </is>
      </c>
      <c r="E8" s="55" t="inlineStr">
        <is>
          <t>Could bias prevalence if disclosure is informative</t>
        </is>
      </c>
      <c r="F8" s="55" t="inlineStr">
        <is>
          <t>Missingness sensitivity must be discussed; it cannot be solved by guessing defaults.</t>
        </is>
      </c>
    </row>
    <row r="9">
      <c r="A9" s="55" t="inlineStr">
        <is>
          <t>Adversarial scenario</t>
        </is>
      </c>
      <c r="B9" s="55" t="inlineStr">
        <is>
          <t>Include five broad/ambiguous systems and classify unresolved cases against the hypothesis.</t>
        </is>
      </c>
      <c r="C9" s="55" t="inlineStr">
        <is>
          <t>RAG-HPO, SurgeryLLM, CLEAR, WeiseEule, MEDRAG</t>
        </is>
      </c>
      <c r="D9" s="55" t="inlineStr">
        <is>
          <t>Not used as preferred estimate</t>
        </is>
      </c>
      <c r="E9" s="55" t="inlineStr">
        <is>
          <t>Raises p_tier2</t>
        </is>
      </c>
      <c r="F9" s="55" t="inlineStr">
        <is>
          <t>Tests whether the conclusion p_tier2 &lt; 0.175 survives deliberately unfavorable coding.</t>
        </is>
      </c>
    </row>
    <row r="10">
      <c r="A10" s="55" t="inlineStr">
        <is>
          <t>Statistical model</t>
        </is>
      </c>
      <c r="B10" s="55" t="inlineStr">
        <is>
          <t>Jeffreys binomial posterior Beta(k+0.5,n-k+0.5); compare with p=0.175.</t>
        </is>
      </c>
      <c r="C10" s="55" t="inlineStr">
        <is>
          <t>Posterior mean and 95% CrI</t>
        </is>
      </c>
      <c r="D10" s="55" t="inlineStr">
        <is>
          <t>No claim of population representativeness</t>
        </is>
      </c>
      <c r="E10" s="55" t="inlineStr">
        <is>
          <t>Quantifies sampling uncertainty only</t>
        </is>
      </c>
      <c r="F10" s="55" t="inlineStr">
        <is>
          <t>Publication and disclosure selection remain structural limitations.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2026-08-14T23:23:29Z</dcterms:created>
  <dcterms:modified xmlns:dcterms="http://purl.org/dc/terms/" xmlns:xsi="http://www.w3.org/2001/XMLSchema-instance" xsi:type="dcterms:W3CDTF">2026-08-14T23:23:29Z</dcterms:modified>
</cp:coreProperties>
</file>